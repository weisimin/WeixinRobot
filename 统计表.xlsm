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下注开奖" sheetId="1" r:id="rId1"/>
    <sheet name="赔率" sheetId="2" r:id="rId2"/>
    <sheet name="组合对照" sheetId="3" r:id="rId3"/>
    <sheet name="Sheet1" sheetId="4" r:id="rId4"/>
  </sheets>
  <functionGroups builtInGroupCount="17"/>
  <calcPr calcId="144525"/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3" i="4"/>
  <c r="L21" i="1" l="1"/>
  <c r="H21" i="1"/>
  <c r="D21" i="1"/>
  <c r="M20" i="1"/>
  <c r="I20" i="1"/>
  <c r="E20" i="1"/>
  <c r="M19" i="1"/>
  <c r="I19" i="1"/>
  <c r="E19" i="1"/>
  <c r="M18" i="1"/>
  <c r="I18" i="1"/>
  <c r="E18" i="1"/>
  <c r="M17" i="1"/>
  <c r="I17" i="1"/>
  <c r="E17" i="1"/>
  <c r="M16" i="1"/>
  <c r="I16" i="1"/>
  <c r="E16" i="1"/>
  <c r="M15" i="1"/>
  <c r="I15" i="1"/>
  <c r="E15" i="1"/>
  <c r="M14" i="1"/>
  <c r="I14" i="1"/>
  <c r="E14" i="1"/>
  <c r="M13" i="1"/>
  <c r="I13" i="1"/>
  <c r="E13" i="1"/>
  <c r="L11" i="1"/>
  <c r="M10" i="1"/>
  <c r="M9" i="1"/>
  <c r="M8" i="1"/>
  <c r="M7" i="1"/>
  <c r="M6" i="1"/>
  <c r="M5" i="1"/>
  <c r="M4" i="1"/>
  <c r="M3" i="1"/>
  <c r="H11" i="1"/>
  <c r="I10" i="1"/>
  <c r="I9" i="1"/>
  <c r="I8" i="1"/>
  <c r="I7" i="1"/>
  <c r="I6" i="1"/>
  <c r="I5" i="1"/>
  <c r="I4" i="1"/>
  <c r="I3" i="1"/>
  <c r="E4" i="1"/>
  <c r="E5" i="1"/>
  <c r="E6" i="1"/>
  <c r="E7" i="1"/>
  <c r="E8" i="1"/>
  <c r="E9" i="1"/>
  <c r="E10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2" i="2"/>
  <c r="D11" i="1"/>
  <c r="E3" i="1"/>
  <c r="N20" i="1"/>
  <c r="F20" i="1"/>
  <c r="J19" i="1"/>
  <c r="B17" i="1"/>
  <c r="B14" i="1"/>
  <c r="J20" i="1"/>
  <c r="N19" i="1"/>
  <c r="F19" i="1"/>
  <c r="B15" i="1"/>
  <c r="B16" i="1"/>
  <c r="F14" i="1"/>
  <c r="N9" i="1"/>
  <c r="N10" i="1"/>
  <c r="J9" i="1"/>
  <c r="J10" i="1"/>
  <c r="F10" i="1"/>
  <c r="F9" i="1"/>
  <c r="F3" i="1"/>
  <c r="B6" i="1"/>
  <c r="B7" i="1"/>
  <c r="B5" i="1"/>
  <c r="B4" i="1"/>
  <c r="J17" i="1"/>
  <c r="F18" i="1"/>
  <c r="N18" i="1"/>
  <c r="N14" i="1"/>
  <c r="J16" i="1"/>
  <c r="F13" i="1"/>
  <c r="N13" i="1"/>
  <c r="J15" i="1"/>
  <c r="F17" i="1"/>
  <c r="N17" i="1"/>
  <c r="J18" i="1"/>
  <c r="J14" i="1"/>
  <c r="F16" i="1"/>
  <c r="N16" i="1"/>
  <c r="J13" i="1"/>
  <c r="F15" i="1"/>
  <c r="N15" i="1"/>
  <c r="F4" i="1"/>
  <c r="F5" i="1"/>
  <c r="F6" i="1"/>
  <c r="F7" i="1"/>
  <c r="F8" i="1"/>
  <c r="J4" i="1"/>
  <c r="J6" i="1"/>
  <c r="J8" i="1"/>
  <c r="J3" i="1"/>
  <c r="J5" i="1"/>
  <c r="J7" i="1"/>
  <c r="N4" i="1"/>
  <c r="N6" i="1"/>
  <c r="N8" i="1"/>
  <c r="N3" i="1"/>
  <c r="N5" i="1"/>
  <c r="N7" i="1"/>
  <c r="J21" i="1" l="1"/>
  <c r="G21" i="1" s="1"/>
  <c r="N21" i="1"/>
  <c r="K21" i="1" s="1"/>
  <c r="F21" i="1"/>
  <c r="C21" i="1" s="1"/>
  <c r="N11" i="1"/>
  <c r="K11" i="1" s="1"/>
  <c r="J11" i="1"/>
  <c r="G11" i="1" s="1"/>
  <c r="F11" i="1"/>
  <c r="C11" i="1" s="1"/>
</calcChain>
</file>

<file path=xl/sharedStrings.xml><?xml version="1.0" encoding="utf-8"?>
<sst xmlns="http://schemas.openxmlformats.org/spreadsheetml/2006/main" count="532" uniqueCount="249">
  <si>
    <t>期号：</t>
    <phoneticPr fontId="1" type="noConversion"/>
  </si>
  <si>
    <t>开奖</t>
  </si>
  <si>
    <t>开奖：</t>
    <phoneticPr fontId="1" type="noConversion"/>
  </si>
  <si>
    <t>合</t>
  </si>
  <si>
    <t>合</t>
    <phoneticPr fontId="1" type="noConversion"/>
  </si>
  <si>
    <t>大小</t>
    <phoneticPr fontId="1" type="noConversion"/>
  </si>
  <si>
    <t>单双</t>
  </si>
  <si>
    <t>单双</t>
    <phoneticPr fontId="1" type="noConversion"/>
  </si>
  <si>
    <t>龙虎</t>
    <phoneticPr fontId="1" type="noConversion"/>
  </si>
  <si>
    <t>001</t>
    <phoneticPr fontId="1" type="noConversion"/>
  </si>
  <si>
    <t>玩家1</t>
    <phoneticPr fontId="1" type="noConversion"/>
  </si>
  <si>
    <t>玩家2</t>
    <phoneticPr fontId="1" type="noConversion"/>
  </si>
  <si>
    <t>大龙单</t>
  </si>
  <si>
    <t>大虎单</t>
  </si>
  <si>
    <t xml:space="preserve"> 大单龙</t>
  </si>
  <si>
    <t xml:space="preserve"> 大单虎</t>
  </si>
  <si>
    <t xml:space="preserve"> 大单合</t>
  </si>
  <si>
    <t xml:space="preserve"> 大双龙</t>
  </si>
  <si>
    <t xml:space="preserve"> 大双虎</t>
  </si>
  <si>
    <t xml:space="preserve"> 大双合</t>
  </si>
  <si>
    <t xml:space="preserve"> 小单龙</t>
  </si>
  <si>
    <t xml:space="preserve"> 小单虎</t>
  </si>
  <si>
    <t xml:space="preserve"> 小单合</t>
  </si>
  <si>
    <t xml:space="preserve"> 小双龙</t>
  </si>
  <si>
    <t xml:space="preserve"> 小双虎</t>
  </si>
  <si>
    <t xml:space="preserve"> 小双合</t>
  </si>
  <si>
    <t xml:space="preserve"> 和单龙</t>
  </si>
  <si>
    <t xml:space="preserve"> 和单虎</t>
  </si>
  <si>
    <t xml:space="preserve"> 和单合</t>
  </si>
  <si>
    <t xml:space="preserve"> 大单</t>
  </si>
  <si>
    <t xml:space="preserve"> 大双</t>
  </si>
  <si>
    <t xml:space="preserve"> 小单</t>
  </si>
  <si>
    <t xml:space="preserve"> 小双</t>
  </si>
  <si>
    <t xml:space="preserve"> 和单</t>
  </si>
  <si>
    <t xml:space="preserve"> 大龙</t>
  </si>
  <si>
    <t xml:space="preserve"> 大虎</t>
  </si>
  <si>
    <t xml:space="preserve"> 大合</t>
  </si>
  <si>
    <t xml:space="preserve"> 小龙</t>
  </si>
  <si>
    <t xml:space="preserve"> 小虎</t>
  </si>
  <si>
    <t xml:space="preserve"> 小合</t>
  </si>
  <si>
    <t xml:space="preserve"> 和龙</t>
  </si>
  <si>
    <t xml:space="preserve"> 和虎</t>
  </si>
  <si>
    <t xml:space="preserve"> 和合</t>
  </si>
  <si>
    <t xml:space="preserve"> 单龙</t>
  </si>
  <si>
    <t xml:space="preserve"> 单虎</t>
  </si>
  <si>
    <t xml:space="preserve"> 单合</t>
  </si>
  <si>
    <t xml:space="preserve"> 双龙</t>
  </si>
  <si>
    <t xml:space="preserve"> 双虎</t>
  </si>
  <si>
    <t xml:space="preserve"> 双合</t>
  </si>
  <si>
    <t>大合单</t>
  </si>
  <si>
    <t>大龙双</t>
  </si>
  <si>
    <t>大虎双</t>
  </si>
  <si>
    <t>大合双</t>
  </si>
  <si>
    <t>大单龙</t>
  </si>
  <si>
    <t>大双龙</t>
  </si>
  <si>
    <t>大单虎</t>
  </si>
  <si>
    <t>大双虎</t>
  </si>
  <si>
    <t>大单合</t>
  </si>
  <si>
    <t>大双合</t>
  </si>
  <si>
    <t>小龙单</t>
  </si>
  <si>
    <t>小虎单</t>
  </si>
  <si>
    <t>小合单</t>
  </si>
  <si>
    <t>小龙双</t>
  </si>
  <si>
    <t>小虎双</t>
  </si>
  <si>
    <t>小合双</t>
  </si>
  <si>
    <t>小单龙</t>
  </si>
  <si>
    <t>小双龙</t>
  </si>
  <si>
    <t>小单虎</t>
  </si>
  <si>
    <t>小双虎</t>
  </si>
  <si>
    <t>小单合</t>
  </si>
  <si>
    <t>小双合</t>
  </si>
  <si>
    <t>和龙单</t>
  </si>
  <si>
    <t>和虎单</t>
  </si>
  <si>
    <t>和合单</t>
  </si>
  <si>
    <t>和单龙</t>
  </si>
  <si>
    <t>和单虎</t>
  </si>
  <si>
    <t>和单合</t>
  </si>
  <si>
    <t>单龙大</t>
  </si>
  <si>
    <t>单虎大</t>
  </si>
  <si>
    <t>单合大</t>
  </si>
  <si>
    <t>单龙小</t>
  </si>
  <si>
    <t>单虎小</t>
  </si>
  <si>
    <t>单合小</t>
  </si>
  <si>
    <t>单龙和</t>
  </si>
  <si>
    <t>单虎和</t>
  </si>
  <si>
    <t>单合和</t>
  </si>
  <si>
    <t>单大龙</t>
  </si>
  <si>
    <t>单小龙</t>
  </si>
  <si>
    <t>单和龙</t>
  </si>
  <si>
    <t>单大虎</t>
  </si>
  <si>
    <t>单小虎</t>
  </si>
  <si>
    <t>单和虎</t>
  </si>
  <si>
    <t>单大合</t>
  </si>
  <si>
    <t>单小合</t>
  </si>
  <si>
    <t>单和合</t>
  </si>
  <si>
    <t>双龙大</t>
  </si>
  <si>
    <t>双虎大</t>
  </si>
  <si>
    <t>双合大</t>
  </si>
  <si>
    <t>双龙小</t>
  </si>
  <si>
    <t>双虎小</t>
  </si>
  <si>
    <t>双合小</t>
  </si>
  <si>
    <t>双大龙</t>
  </si>
  <si>
    <t>双小龙</t>
  </si>
  <si>
    <t>双大虎</t>
  </si>
  <si>
    <t>双小虎</t>
  </si>
  <si>
    <t>双大合</t>
  </si>
  <si>
    <t>双小合</t>
  </si>
  <si>
    <t>龙单大</t>
  </si>
  <si>
    <t>龙双大</t>
  </si>
  <si>
    <t>龙单小</t>
  </si>
  <si>
    <t>龙双小</t>
  </si>
  <si>
    <t>龙单和</t>
  </si>
  <si>
    <t>龙大单</t>
  </si>
  <si>
    <t>龙小单</t>
  </si>
  <si>
    <t>龙和单</t>
  </si>
  <si>
    <t>龙大双</t>
  </si>
  <si>
    <t>龙小双</t>
  </si>
  <si>
    <t>虎单大</t>
  </si>
  <si>
    <t>虎双大</t>
  </si>
  <si>
    <t>虎单小</t>
  </si>
  <si>
    <t>虎双小</t>
  </si>
  <si>
    <t>虎单和</t>
  </si>
  <si>
    <t>虎大单</t>
  </si>
  <si>
    <t>虎小单</t>
  </si>
  <si>
    <t>虎和单</t>
  </si>
  <si>
    <t>虎大双</t>
  </si>
  <si>
    <t>虎小双</t>
  </si>
  <si>
    <t>合单大</t>
  </si>
  <si>
    <t>合双大</t>
  </si>
  <si>
    <t>合单小</t>
  </si>
  <si>
    <t>合双小</t>
  </si>
  <si>
    <t>合单和</t>
  </si>
  <si>
    <t>合大单</t>
  </si>
  <si>
    <t>合小单</t>
  </si>
  <si>
    <t>合和单</t>
  </si>
  <si>
    <t>合大双</t>
  </si>
  <si>
    <t>合小双</t>
  </si>
  <si>
    <t>大单</t>
  </si>
  <si>
    <t>大双</t>
  </si>
  <si>
    <t>小单</t>
  </si>
  <si>
    <t>小双</t>
  </si>
  <si>
    <t>和单</t>
  </si>
  <si>
    <t>单大</t>
  </si>
  <si>
    <t>单小</t>
  </si>
  <si>
    <t>单和</t>
  </si>
  <si>
    <t>双大</t>
  </si>
  <si>
    <t>双小</t>
  </si>
  <si>
    <t>大龙</t>
  </si>
  <si>
    <t>大虎</t>
  </si>
  <si>
    <t>大合</t>
  </si>
  <si>
    <t>小龙</t>
  </si>
  <si>
    <t>小虎</t>
  </si>
  <si>
    <t>小合</t>
  </si>
  <si>
    <t>和龙</t>
  </si>
  <si>
    <t>和虎</t>
  </si>
  <si>
    <t>和合</t>
  </si>
  <si>
    <t>龙大</t>
  </si>
  <si>
    <t>龙小</t>
  </si>
  <si>
    <t>龙和</t>
  </si>
  <si>
    <t>虎大</t>
  </si>
  <si>
    <t>虎小</t>
  </si>
  <si>
    <t>虎和</t>
  </si>
  <si>
    <t>合大</t>
  </si>
  <si>
    <t>合小</t>
  </si>
  <si>
    <t>合和</t>
  </si>
  <si>
    <t>单龙</t>
  </si>
  <si>
    <t>单虎</t>
  </si>
  <si>
    <t>单合</t>
  </si>
  <si>
    <t>双龙</t>
  </si>
  <si>
    <t>双虎</t>
  </si>
  <si>
    <t>双合</t>
  </si>
  <si>
    <t>龙单</t>
  </si>
  <si>
    <t>龙双</t>
  </si>
  <si>
    <t>虎单</t>
  </si>
  <si>
    <t>虎双</t>
  </si>
  <si>
    <t>合单</t>
  </si>
  <si>
    <t>合双</t>
  </si>
  <si>
    <t>不吃</t>
  </si>
  <si>
    <t>和</t>
  </si>
  <si>
    <t>大小和</t>
  </si>
  <si>
    <t>大</t>
  </si>
  <si>
    <t>小</t>
  </si>
  <si>
    <t>单</t>
  </si>
  <si>
    <t>双</t>
  </si>
  <si>
    <t>定X</t>
  </si>
  <si>
    <t>数字</t>
  </si>
  <si>
    <t>龙虎合</t>
  </si>
  <si>
    <t>虎</t>
  </si>
  <si>
    <t>龙</t>
  </si>
  <si>
    <t>全X</t>
  </si>
  <si>
    <t>连1个</t>
  </si>
  <si>
    <t>连2个</t>
  </si>
  <si>
    <t>连3个</t>
  </si>
  <si>
    <t>连4个</t>
  </si>
  <si>
    <t>连5个</t>
  </si>
  <si>
    <t>组合</t>
  </si>
  <si>
    <t>类别</t>
    <phoneticPr fontId="1" type="noConversion"/>
  </si>
  <si>
    <t>数值</t>
    <phoneticPr fontId="1" type="noConversion"/>
  </si>
  <si>
    <t>最小</t>
    <phoneticPr fontId="1" type="noConversion"/>
  </si>
  <si>
    <t>最大</t>
    <phoneticPr fontId="1" type="noConversion"/>
  </si>
  <si>
    <t>赔率</t>
    <phoneticPr fontId="1" type="noConversion"/>
  </si>
  <si>
    <t>大龙</t>
    <phoneticPr fontId="1" type="noConversion"/>
  </si>
  <si>
    <t>玩家3</t>
    <phoneticPr fontId="1" type="noConversion"/>
  </si>
  <si>
    <t>下注</t>
    <phoneticPr fontId="1" type="noConversion"/>
  </si>
  <si>
    <t>得分</t>
    <phoneticPr fontId="1" type="noConversion"/>
  </si>
  <si>
    <t>大</t>
    <phoneticPr fontId="1" type="noConversion"/>
  </si>
  <si>
    <t>单</t>
    <phoneticPr fontId="1" type="noConversion"/>
  </si>
  <si>
    <t>双</t>
    <phoneticPr fontId="1" type="noConversion"/>
  </si>
  <si>
    <t>大单龙</t>
    <phoneticPr fontId="1" type="noConversion"/>
  </si>
  <si>
    <t>全</t>
    <phoneticPr fontId="1" type="noConversion"/>
  </si>
  <si>
    <t>百单</t>
    <phoneticPr fontId="1" type="noConversion"/>
  </si>
  <si>
    <t>分类</t>
    <phoneticPr fontId="1" type="noConversion"/>
  </si>
  <si>
    <t>合计</t>
    <phoneticPr fontId="1" type="noConversion"/>
  </si>
  <si>
    <t>55355</t>
    <phoneticPr fontId="1" type="noConversion"/>
  </si>
  <si>
    <t>标记</t>
    <phoneticPr fontId="1" type="noConversion"/>
  </si>
  <si>
    <t>和单合</t>
    <phoneticPr fontId="1" type="noConversion"/>
  </si>
  <si>
    <t>002</t>
    <phoneticPr fontId="1" type="noConversion"/>
  </si>
  <si>
    <t>全5</t>
    <phoneticPr fontId="1" type="noConversion"/>
  </si>
  <si>
    <t>下单@#虎100</t>
  </si>
  <si>
    <t>下单</t>
  </si>
  <si>
    <t>上分:677624877</t>
  </si>
  <si>
    <t>上分</t>
  </si>
  <si>
    <t>下单@#小200</t>
  </si>
  <si>
    <t>开奖:20180507076 56263 22 龙 小 双  下注:小200.00</t>
  </si>
  <si>
    <t>下单@#小190</t>
  </si>
  <si>
    <t>开奖:20180507077 11816 17 虎 小 单  下注:小190.00</t>
  </si>
  <si>
    <t>下单@#龙150</t>
  </si>
  <si>
    <t>下单@#合20</t>
  </si>
  <si>
    <t>下单@#虎200</t>
  </si>
  <si>
    <t>开奖:20180507084 28233 18 虎 小 双  下注:虎200.00</t>
  </si>
  <si>
    <t>下单@#大200</t>
  </si>
  <si>
    <t>下单@#虎220</t>
  </si>
  <si>
    <t>开奖:20180507085 59959 37 虎 大 单  下注:大200.00</t>
  </si>
  <si>
    <t>开奖:20180507085 59959 37 虎 大 单  下注:虎220.00</t>
  </si>
  <si>
    <t>下单@#大52</t>
  </si>
  <si>
    <t>下单@#龙170</t>
  </si>
  <si>
    <t>下单@#合30</t>
  </si>
  <si>
    <t>开奖:20180507091 61501 13 龙 小 单  下注:龙170.00</t>
  </si>
  <si>
    <t>下分:677624877</t>
  </si>
  <si>
    <t>下分</t>
  </si>
  <si>
    <t>下单@#大100</t>
  </si>
  <si>
    <t>开奖:20180507110 52748 26 虎 大 双  下注:大100.00</t>
  </si>
  <si>
    <t>福利:677624877</t>
  </si>
  <si>
    <t>福利</t>
  </si>
  <si>
    <t>时间</t>
    <phoneticPr fontId="1" type="noConversion"/>
  </si>
  <si>
    <t>操作</t>
    <phoneticPr fontId="1" type="noConversion"/>
  </si>
  <si>
    <t>类别</t>
    <phoneticPr fontId="1" type="noConversion"/>
  </si>
  <si>
    <t>分数</t>
    <phoneticPr fontId="1" type="noConversion"/>
  </si>
  <si>
    <t>余分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</si>
</sst>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d&quot;日&quot;h&quot;时&quot;mm&quot;分&quot;ss&quot;秒&quot;"/>
  </numFmts>
  <fonts count="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2"/>
      <scheme val="minor"/>
    </font>
    <font>
      <b/>
      <sz val="1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Fill="1"/>
    <xf numFmtId="0" fontId="0" fillId="0" borderId="1" xfId="0" applyBorder="1"/>
    <xf numFmtId="0" fontId="0" fillId="0" borderId="1" xfId="0" quotePrefix="1" applyBorder="1"/>
    <xf numFmtId="0" fontId="2" fillId="2" borderId="1" xfId="0" applyFont="1" applyFill="1" applyBorder="1"/>
    <xf numFmtId="0" fontId="0" fillId="0" borderId="1" xfId="0" applyFill="1" applyBorder="1"/>
    <xf numFmtId="0" fontId="2" fillId="0" borderId="1" xfId="0" applyFont="1" applyFill="1" applyBorder="1"/>
    <xf numFmtId="0" fontId="0" fillId="0" borderId="2" xfId="0" applyBorder="1"/>
    <xf numFmtId="0" fontId="0" fillId="0" borderId="3" xfId="0" quotePrefix="1" applyBorder="1"/>
    <xf numFmtId="0" fontId="2" fillId="2" borderId="3" xfId="0" applyFont="1" applyFill="1" applyBorder="1"/>
    <xf numFmtId="0" fontId="0" fillId="0" borderId="3" xfId="0" applyFill="1" applyBorder="1"/>
    <xf numFmtId="0" fontId="0" fillId="0" borderId="3" xfId="0" applyBorder="1"/>
    <xf numFmtId="0" fontId="0" fillId="0" borderId="4" xfId="0" applyBorder="1"/>
    <xf numFmtId="0" fontId="0" fillId="0" borderId="7" xfId="0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2" fillId="2" borderId="8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4" borderId="4" xfId="0" applyFill="1" applyBorder="1"/>
    <xf numFmtId="0" fontId="0" fillId="4" borderId="1" xfId="0" applyFill="1" applyBorder="1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1"/>
  <sheetViews>
    <sheetView workbookViewId="0">
      <selection activeCell="F3" sqref="F3"/>
    </sheetView>
  </sheetViews>
  <sheetFormatPr defaultRowHeight="13.5"/>
  <cols>
    <col min="1" max="1" width="7.125" customWidth="1"/>
    <col min="3" max="6" width="10.25" customWidth="1"/>
    <col min="7" max="8" width="11" customWidth="1"/>
    <col min="9" max="19" width="9" style="2"/>
  </cols>
  <sheetData>
    <row r="1" spans="1:19" ht="14.25" thickBot="1">
      <c r="C1" s="14" t="s">
        <v>10</v>
      </c>
      <c r="D1" s="14"/>
      <c r="E1" s="14"/>
      <c r="F1" s="14"/>
      <c r="G1" s="14" t="s">
        <v>11</v>
      </c>
      <c r="H1" s="14"/>
      <c r="I1" s="14"/>
      <c r="J1" s="14"/>
      <c r="K1" s="14" t="s">
        <v>202</v>
      </c>
      <c r="L1" s="14"/>
      <c r="M1" s="14"/>
      <c r="N1" s="14"/>
    </row>
    <row r="2" spans="1:19" s="12" customFormat="1" ht="14.25" thickBot="1">
      <c r="A2" s="8" t="s">
        <v>0</v>
      </c>
      <c r="B2" s="9" t="s">
        <v>9</v>
      </c>
      <c r="C2" s="15" t="s">
        <v>211</v>
      </c>
      <c r="D2" s="15" t="s">
        <v>203</v>
      </c>
      <c r="E2" s="15" t="s">
        <v>200</v>
      </c>
      <c r="F2" s="15" t="s">
        <v>204</v>
      </c>
      <c r="G2" s="15" t="s">
        <v>211</v>
      </c>
      <c r="H2" s="15" t="s">
        <v>203</v>
      </c>
      <c r="I2" s="15" t="s">
        <v>200</v>
      </c>
      <c r="J2" s="15" t="s">
        <v>204</v>
      </c>
      <c r="K2" s="15" t="s">
        <v>211</v>
      </c>
      <c r="L2" s="15" t="s">
        <v>203</v>
      </c>
      <c r="M2" s="15" t="s">
        <v>200</v>
      </c>
      <c r="N2" s="15" t="s">
        <v>204</v>
      </c>
      <c r="O2" s="11"/>
      <c r="P2" s="11"/>
      <c r="Q2" s="11"/>
      <c r="R2" s="11"/>
      <c r="S2" s="11"/>
    </row>
    <row r="3" spans="1:19" s="3" customFormat="1">
      <c r="A3" s="13" t="s">
        <v>2</v>
      </c>
      <c r="B3" s="4" t="s">
        <v>213</v>
      </c>
      <c r="C3" s="10" t="s">
        <v>4</v>
      </c>
      <c r="D3" s="10">
        <v>50</v>
      </c>
      <c r="E3" s="16" t="e">
        <f>FindRatio(C3,D3,赔率!A2:F6)</f>
        <v>#VALUE!</v>
      </c>
      <c r="F3" s="5" t="e">
        <f>CaculatePlayerGet(C3,D3,E3,$B5,$B6,$B7)</f>
        <v>#VALUE!</v>
      </c>
      <c r="G3" s="10" t="s">
        <v>4</v>
      </c>
      <c r="H3" s="10">
        <v>50</v>
      </c>
      <c r="I3" s="16">
        <f>VLOOKUP(G3,赔率!$B:$F,5,0)</f>
        <v>9</v>
      </c>
      <c r="J3" s="5">
        <f>CaculatePlayerGet(G3,H3,I3,$B5,$B6,$B7)</f>
        <v>450</v>
      </c>
      <c r="K3" s="10" t="s">
        <v>4</v>
      </c>
      <c r="L3" s="10">
        <v>50</v>
      </c>
      <c r="M3" s="16">
        <f>VLOOKUP(K3,赔率!$B:$F,5,0)</f>
        <v>9</v>
      </c>
      <c r="N3" s="5">
        <f>CaculatePlayerGet(K3,L3,M3,$B5,$B6,$B7)</f>
        <v>450</v>
      </c>
      <c r="O3" s="7"/>
      <c r="P3" s="7"/>
      <c r="Q3" s="7"/>
      <c r="R3" s="7"/>
      <c r="S3" s="6"/>
    </row>
    <row r="4" spans="1:19" s="3" customFormat="1">
      <c r="A4" s="19" t="s">
        <v>4</v>
      </c>
      <c r="B4" s="20">
        <f>CaculateTotal(B3)</f>
        <v>23</v>
      </c>
      <c r="C4" s="5" t="s">
        <v>201</v>
      </c>
      <c r="D4" s="5">
        <v>30</v>
      </c>
      <c r="E4" s="16">
        <f>VLOOKUP(C4,赔率!$B:$F,5,0)</f>
        <v>20</v>
      </c>
      <c r="F4" s="5">
        <f>CaculatePlayerGet(C4,D4,E4,$B5,$B6,$B7)</f>
        <v>0</v>
      </c>
      <c r="G4" s="5" t="s">
        <v>201</v>
      </c>
      <c r="H4" s="5">
        <v>30</v>
      </c>
      <c r="I4" s="16">
        <f>VLOOKUP(G4,赔率!$B:$F,5,0)</f>
        <v>20</v>
      </c>
      <c r="J4" s="5">
        <f>CaculatePlayerGet(G4,H4,I4,$B5,$B6,$B7)</f>
        <v>0</v>
      </c>
      <c r="K4" s="5" t="s">
        <v>201</v>
      </c>
      <c r="L4" s="5">
        <v>30</v>
      </c>
      <c r="M4" s="16">
        <f>VLOOKUP(K4,赔率!$B:$F,5,0)</f>
        <v>20</v>
      </c>
      <c r="N4" s="5">
        <f>CaculatePlayerGet(K4,L4,M4,$B5,$B6,$B7)</f>
        <v>0</v>
      </c>
      <c r="O4" s="6"/>
      <c r="P4" s="6"/>
      <c r="Q4" s="6"/>
      <c r="R4" s="6"/>
      <c r="S4" s="6"/>
    </row>
    <row r="5" spans="1:19" s="3" customFormat="1">
      <c r="A5" s="19" t="s">
        <v>5</v>
      </c>
      <c r="B5" s="20" t="str">
        <f>CaculateBigSamll(B3)</f>
        <v>和</v>
      </c>
      <c r="C5" s="5" t="s">
        <v>205</v>
      </c>
      <c r="D5" s="5">
        <v>50</v>
      </c>
      <c r="E5" s="16">
        <f>VLOOKUP(C5,赔率!$B:$F,5,0)</f>
        <v>1.95</v>
      </c>
      <c r="F5" s="5">
        <f>CaculatePlayerGet(C5,D5,E5,$B5,$B6,$B7)</f>
        <v>0</v>
      </c>
      <c r="G5" s="5" t="s">
        <v>205</v>
      </c>
      <c r="H5" s="5">
        <v>50</v>
      </c>
      <c r="I5" s="16">
        <f>VLOOKUP(G5,赔率!$B:$F,5,0)</f>
        <v>1.95</v>
      </c>
      <c r="J5" s="5">
        <f>CaculatePlayerGet(G5,H5,I5,$B5,$B6,$B7)</f>
        <v>0</v>
      </c>
      <c r="K5" s="5" t="s">
        <v>205</v>
      </c>
      <c r="L5" s="5">
        <v>50</v>
      </c>
      <c r="M5" s="16">
        <f>VLOOKUP(K5,赔率!$B:$F,5,0)</f>
        <v>1.95</v>
      </c>
      <c r="N5" s="5">
        <f>CaculatePlayerGet(K5,L5,M5,$B5,$B6,$B7)</f>
        <v>0</v>
      </c>
      <c r="O5" s="6"/>
      <c r="P5" s="6"/>
      <c r="Q5" s="6"/>
      <c r="R5" s="6"/>
      <c r="S5" s="6"/>
    </row>
    <row r="6" spans="1:19" s="3" customFormat="1">
      <c r="A6" s="19" t="s">
        <v>7</v>
      </c>
      <c r="B6" s="20" t="str">
        <f>CaculateSingle(B3)</f>
        <v>单</v>
      </c>
      <c r="C6" s="5" t="s">
        <v>206</v>
      </c>
      <c r="D6" s="5">
        <v>25</v>
      </c>
      <c r="E6" s="16">
        <f>VLOOKUP(C6,赔率!$B:$F,5,0)</f>
        <v>1.9</v>
      </c>
      <c r="F6" s="5">
        <f>CaculatePlayerGet(C6,D6,E6,$B5,$B6,$B7)</f>
        <v>47.5</v>
      </c>
      <c r="G6" s="5" t="s">
        <v>206</v>
      </c>
      <c r="H6" s="5">
        <v>25</v>
      </c>
      <c r="I6" s="16">
        <f>VLOOKUP(G6,赔率!$B:$F,5,0)</f>
        <v>1.9</v>
      </c>
      <c r="J6" s="5">
        <f>CaculatePlayerGet(G6,H6,I6,$B5,$B6,$B7)</f>
        <v>47.5</v>
      </c>
      <c r="K6" s="5" t="s">
        <v>206</v>
      </c>
      <c r="L6" s="5">
        <v>25</v>
      </c>
      <c r="M6" s="16">
        <f>VLOOKUP(K6,赔率!$B:$F,5,0)</f>
        <v>1.9</v>
      </c>
      <c r="N6" s="5">
        <f>CaculatePlayerGet(K6,L6,M6,$B5,$B6,$B7)</f>
        <v>47.5</v>
      </c>
      <c r="O6" s="6"/>
      <c r="P6" s="6"/>
      <c r="Q6" s="6"/>
      <c r="R6" s="6"/>
      <c r="S6" s="6"/>
    </row>
    <row r="7" spans="1:19" s="3" customFormat="1">
      <c r="A7" s="19" t="s">
        <v>8</v>
      </c>
      <c r="B7" s="20" t="str">
        <f>CaculateDragon(B3)</f>
        <v>合</v>
      </c>
      <c r="C7" s="5" t="s">
        <v>207</v>
      </c>
      <c r="D7" s="5">
        <v>30</v>
      </c>
      <c r="E7" s="16">
        <f>VLOOKUP(C7,赔率!$B:$F,5,0)</f>
        <v>1.9</v>
      </c>
      <c r="F7" s="5">
        <f>CaculatePlayerGet(C7,D7,E7,$B5,$B6,$B7)</f>
        <v>0</v>
      </c>
      <c r="G7" s="5" t="s">
        <v>207</v>
      </c>
      <c r="H7" s="5">
        <v>30</v>
      </c>
      <c r="I7" s="16">
        <f>VLOOKUP(G7,赔率!$B:$F,5,0)</f>
        <v>1.9</v>
      </c>
      <c r="J7" s="5">
        <f>CaculatePlayerGet(G7,H7,I7,$B5,$B6,$B7)</f>
        <v>0</v>
      </c>
      <c r="K7" s="5" t="s">
        <v>207</v>
      </c>
      <c r="L7" s="5">
        <v>30</v>
      </c>
      <c r="M7" s="16">
        <f>VLOOKUP(K7,赔率!$B:$F,5,0)</f>
        <v>1.9</v>
      </c>
      <c r="N7" s="5">
        <f>CaculatePlayerGet(K7,L7,M7,$B5,$B6,$B7)</f>
        <v>0</v>
      </c>
      <c r="O7" s="6"/>
      <c r="P7" s="6"/>
      <c r="Q7" s="6"/>
      <c r="R7" s="6"/>
      <c r="S7" s="6"/>
    </row>
    <row r="8" spans="1:19" s="3" customFormat="1">
      <c r="A8" s="13"/>
      <c r="C8" s="5" t="s">
        <v>215</v>
      </c>
      <c r="D8" s="5">
        <v>50</v>
      </c>
      <c r="E8" s="16">
        <f>VLOOKUP(C8,赔率!$B:$F,5,0)</f>
        <v>30</v>
      </c>
      <c r="F8" s="5">
        <f>CaculatePlayerGet(C8,D8,E8,$B5,$B6,$B7)</f>
        <v>1500</v>
      </c>
      <c r="G8" s="5" t="s">
        <v>208</v>
      </c>
      <c r="H8" s="5">
        <v>50</v>
      </c>
      <c r="I8" s="16">
        <f>VLOOKUP(G8,赔率!$B:$F,5,0)</f>
        <v>9</v>
      </c>
      <c r="J8" s="5">
        <f>CaculatePlayerGet(G8,H8,I8,$B5,$B6,$B7)</f>
        <v>0</v>
      </c>
      <c r="K8" s="5" t="s">
        <v>208</v>
      </c>
      <c r="L8" s="5">
        <v>50</v>
      </c>
      <c r="M8" s="16">
        <f>VLOOKUP(K8,赔率!$B:$F,5,0)</f>
        <v>9</v>
      </c>
      <c r="N8" s="5">
        <f>CaculatePlayerGet(K8,L8,M8,$B5,$B6,$B7)</f>
        <v>0</v>
      </c>
      <c r="O8" s="6"/>
      <c r="P8" s="6"/>
      <c r="Q8" s="6"/>
      <c r="R8" s="6"/>
      <c r="S8" s="6"/>
    </row>
    <row r="9" spans="1:19" s="3" customFormat="1">
      <c r="A9" s="13"/>
      <c r="C9" s="5" t="s">
        <v>217</v>
      </c>
      <c r="D9" s="5">
        <v>1</v>
      </c>
      <c r="E9" s="16" t="e">
        <f>VLOOKUP(C9,赔率!$B:$F,5,0)</f>
        <v>#N/A</v>
      </c>
      <c r="F9" s="5" t="e">
        <f>CaculatePlayerGet(C9,D9,E9,$B5,$B6,$B7)</f>
        <v>#VALUE!</v>
      </c>
      <c r="G9" s="5" t="s">
        <v>209</v>
      </c>
      <c r="H9" s="5">
        <v>1</v>
      </c>
      <c r="I9" s="16" t="e">
        <f>VLOOKUP(G9,赔率!$B:$F,5,0)</f>
        <v>#N/A</v>
      </c>
      <c r="J9" s="5" t="e">
        <f>CaculatePlayerGet(G9,H9,I9,$B5,$B6,$B7)</f>
        <v>#VALUE!</v>
      </c>
      <c r="K9" s="5" t="s">
        <v>209</v>
      </c>
      <c r="L9" s="5">
        <v>1</v>
      </c>
      <c r="M9" s="16" t="e">
        <f>VLOOKUP(K9,赔率!$B:$F,5,0)</f>
        <v>#N/A</v>
      </c>
      <c r="N9" s="5" t="e">
        <f>CaculatePlayerGet(K9,L9,M9,$B5,$B6,$B7)</f>
        <v>#VALUE!</v>
      </c>
      <c r="O9" s="6"/>
      <c r="P9" s="6"/>
      <c r="Q9" s="6"/>
      <c r="R9" s="6"/>
      <c r="S9" s="6"/>
    </row>
    <row r="10" spans="1:19" s="3" customFormat="1">
      <c r="A10" s="13"/>
      <c r="C10" s="5" t="s">
        <v>210</v>
      </c>
      <c r="D10" s="5">
        <v>100</v>
      </c>
      <c r="E10" s="16" t="e">
        <f>VLOOKUP(C10,赔率!$B:$F,5,0)</f>
        <v>#N/A</v>
      </c>
      <c r="F10" s="5" t="e">
        <f>CaculatePlayerGet(C10,D10,E10,$B5,$B6,$B7)</f>
        <v>#VALUE!</v>
      </c>
      <c r="G10" s="5" t="s">
        <v>210</v>
      </c>
      <c r="H10" s="5">
        <v>100</v>
      </c>
      <c r="I10" s="16" t="e">
        <f>VLOOKUP(G10,赔率!$B:$F,5,0)</f>
        <v>#N/A</v>
      </c>
      <c r="J10" s="5" t="e">
        <f>CaculatePlayerGet(G10,H10,I10,$B5,$B6,$B7)</f>
        <v>#VALUE!</v>
      </c>
      <c r="K10" s="5" t="s">
        <v>210</v>
      </c>
      <c r="L10" s="5">
        <v>100</v>
      </c>
      <c r="M10" s="16" t="e">
        <f>VLOOKUP(K10,赔率!$B:$F,5,0)</f>
        <v>#N/A</v>
      </c>
      <c r="N10" s="5" t="e">
        <f>CaculatePlayerGet(K10,L10,M10,$B5,$B6,$B7)</f>
        <v>#VALUE!</v>
      </c>
      <c r="O10" s="6"/>
      <c r="P10" s="6"/>
      <c r="Q10" s="6"/>
      <c r="R10" s="6"/>
      <c r="S10" s="6"/>
    </row>
    <row r="11" spans="1:19" s="18" customFormat="1" ht="14.25" thickBot="1">
      <c r="A11" s="17" t="s">
        <v>212</v>
      </c>
      <c r="C11" s="18" t="e">
        <f>D11+F11</f>
        <v>#VALUE!</v>
      </c>
      <c r="D11" s="18">
        <f>-SUM(D3:D10)</f>
        <v>-336</v>
      </c>
      <c r="F11" s="18" t="e">
        <f>SUM(F3:F10)</f>
        <v>#VALUE!</v>
      </c>
      <c r="G11" s="18" t="e">
        <f>H11+J11</f>
        <v>#VALUE!</v>
      </c>
      <c r="H11" s="18">
        <f>-SUM(H3:H10)</f>
        <v>-336</v>
      </c>
      <c r="J11" s="18" t="e">
        <f>SUM(J3:J10)</f>
        <v>#VALUE!</v>
      </c>
      <c r="K11" s="18" t="e">
        <f>L11+N11</f>
        <v>#VALUE!</v>
      </c>
      <c r="L11" s="18">
        <f>-SUM(L3:L10)</f>
        <v>-336</v>
      </c>
      <c r="N11" s="18" t="e">
        <f>SUM(N3:N10)</f>
        <v>#VALUE!</v>
      </c>
    </row>
    <row r="12" spans="1:19" s="12" customFormat="1" ht="14.25" thickBot="1">
      <c r="A12" s="8" t="s">
        <v>0</v>
      </c>
      <c r="B12" s="9" t="s">
        <v>216</v>
      </c>
      <c r="C12" s="15" t="s">
        <v>211</v>
      </c>
      <c r="D12" s="15" t="s">
        <v>203</v>
      </c>
      <c r="E12" s="15" t="s">
        <v>200</v>
      </c>
      <c r="F12" s="15" t="s">
        <v>204</v>
      </c>
      <c r="G12" s="15" t="s">
        <v>211</v>
      </c>
      <c r="H12" s="15" t="s">
        <v>203</v>
      </c>
      <c r="I12" s="15" t="s">
        <v>200</v>
      </c>
      <c r="J12" s="15" t="s">
        <v>204</v>
      </c>
      <c r="K12" s="15" t="s">
        <v>211</v>
      </c>
      <c r="L12" s="15" t="s">
        <v>203</v>
      </c>
      <c r="M12" s="15" t="s">
        <v>200</v>
      </c>
      <c r="N12" s="15" t="s">
        <v>204</v>
      </c>
      <c r="O12" s="11"/>
      <c r="P12" s="11"/>
      <c r="Q12" s="11"/>
      <c r="R12" s="11"/>
      <c r="S12" s="11"/>
    </row>
    <row r="13" spans="1:19" s="3" customFormat="1">
      <c r="A13" s="13" t="s">
        <v>2</v>
      </c>
      <c r="B13" s="4" t="s">
        <v>213</v>
      </c>
      <c r="C13" s="10" t="s">
        <v>4</v>
      </c>
      <c r="D13" s="10">
        <v>50</v>
      </c>
      <c r="E13" s="16">
        <f>VLOOKUP(C13,赔率!$B:$F,5,0)</f>
        <v>9</v>
      </c>
      <c r="F13" s="5">
        <f>CaculatePlayerGet(C13,D13,E13,$B15,$B16,$B17)</f>
        <v>450</v>
      </c>
      <c r="G13" s="10" t="s">
        <v>4</v>
      </c>
      <c r="H13" s="10">
        <v>50</v>
      </c>
      <c r="I13" s="16">
        <f>VLOOKUP(G13,赔率!$B:$F,5,0)</f>
        <v>9</v>
      </c>
      <c r="J13" s="5">
        <f>CaculatePlayerGet(G13,H13,I13,$B15,$B16,$B17)</f>
        <v>450</v>
      </c>
      <c r="K13" s="10" t="s">
        <v>4</v>
      </c>
      <c r="L13" s="10">
        <v>50</v>
      </c>
      <c r="M13" s="16">
        <f>VLOOKUP(K13,赔率!$B:$F,5,0)</f>
        <v>9</v>
      </c>
      <c r="N13" s="5">
        <f>CaculatePlayerGet(K13,L13,M13,$B15,$B16,$B17)</f>
        <v>450</v>
      </c>
      <c r="O13" s="7"/>
      <c r="P13" s="7"/>
      <c r="Q13" s="7"/>
      <c r="R13" s="7"/>
      <c r="S13" s="6"/>
    </row>
    <row r="14" spans="1:19" s="3" customFormat="1">
      <c r="A14" s="19" t="s">
        <v>4</v>
      </c>
      <c r="B14" s="20">
        <f>CaculateTotal(B13)</f>
        <v>23</v>
      </c>
      <c r="C14" s="5" t="s">
        <v>201</v>
      </c>
      <c r="D14" s="5">
        <v>30</v>
      </c>
      <c r="E14" s="16">
        <f>VLOOKUP(C14,赔率!$B:$F,5,0)</f>
        <v>20</v>
      </c>
      <c r="F14" s="5">
        <f>CaculatePlayerGet(C14,D14,E14,$B15,$B16,$B17)</f>
        <v>0</v>
      </c>
      <c r="G14" s="5" t="s">
        <v>201</v>
      </c>
      <c r="H14" s="5">
        <v>30</v>
      </c>
      <c r="I14" s="16">
        <f>VLOOKUP(G14,赔率!$B:$F,5,0)</f>
        <v>20</v>
      </c>
      <c r="J14" s="5">
        <f>CaculatePlayerGet(G14,H14,I14,$B15,$B16,$B17)</f>
        <v>0</v>
      </c>
      <c r="K14" s="5" t="s">
        <v>201</v>
      </c>
      <c r="L14" s="5">
        <v>30</v>
      </c>
      <c r="M14" s="16">
        <f>VLOOKUP(K14,赔率!$B:$F,5,0)</f>
        <v>20</v>
      </c>
      <c r="N14" s="5">
        <f>CaculatePlayerGet(K14,L14,M14,$B15,$B16,$B17)</f>
        <v>0</v>
      </c>
      <c r="O14" s="6"/>
      <c r="P14" s="6"/>
      <c r="Q14" s="6"/>
      <c r="R14" s="6"/>
      <c r="S14" s="6"/>
    </row>
    <row r="15" spans="1:19" s="3" customFormat="1">
      <c r="A15" s="19" t="s">
        <v>5</v>
      </c>
      <c r="B15" s="20" t="str">
        <f>CaculateBigSamll(B13)</f>
        <v>和</v>
      </c>
      <c r="C15" s="5" t="s">
        <v>205</v>
      </c>
      <c r="D15" s="5">
        <v>50</v>
      </c>
      <c r="E15" s="16">
        <f>VLOOKUP(C15,赔率!$B:$F,5,0)</f>
        <v>1.95</v>
      </c>
      <c r="F15" s="5">
        <f>CaculatePlayerGet(C15,D15,E15,$B15,$B16,$B17)</f>
        <v>0</v>
      </c>
      <c r="G15" s="5" t="s">
        <v>205</v>
      </c>
      <c r="H15" s="5">
        <v>50</v>
      </c>
      <c r="I15" s="16">
        <f>VLOOKUP(G15,赔率!$B:$F,5,0)</f>
        <v>1.95</v>
      </c>
      <c r="J15" s="5">
        <f>CaculatePlayerGet(G15,H15,I15,$B15,$B16,$B17)</f>
        <v>0</v>
      </c>
      <c r="K15" s="5" t="s">
        <v>205</v>
      </c>
      <c r="L15" s="5">
        <v>50</v>
      </c>
      <c r="M15" s="16">
        <f>VLOOKUP(K15,赔率!$B:$F,5,0)</f>
        <v>1.95</v>
      </c>
      <c r="N15" s="5">
        <f>CaculatePlayerGet(K15,L15,M15,$B15,$B16,$B17)</f>
        <v>0</v>
      </c>
      <c r="O15" s="6"/>
      <c r="P15" s="6"/>
      <c r="Q15" s="6"/>
      <c r="R15" s="6"/>
      <c r="S15" s="6"/>
    </row>
    <row r="16" spans="1:19" s="3" customFormat="1">
      <c r="A16" s="19" t="s">
        <v>7</v>
      </c>
      <c r="B16" s="20" t="str">
        <f>CaculateSingle(B13)</f>
        <v>单</v>
      </c>
      <c r="C16" s="5" t="s">
        <v>206</v>
      </c>
      <c r="D16" s="5">
        <v>25</v>
      </c>
      <c r="E16" s="16">
        <f>VLOOKUP(C16,赔率!$B:$F,5,0)</f>
        <v>1.9</v>
      </c>
      <c r="F16" s="5">
        <f>CaculatePlayerGet(C16,D16,E16,$B15,$B16,$B17)</f>
        <v>47.5</v>
      </c>
      <c r="G16" s="5" t="s">
        <v>206</v>
      </c>
      <c r="H16" s="5">
        <v>25</v>
      </c>
      <c r="I16" s="16">
        <f>VLOOKUP(G16,赔率!$B:$F,5,0)</f>
        <v>1.9</v>
      </c>
      <c r="J16" s="5">
        <f>CaculatePlayerGet(G16,H16,I16,$B15,$B16,$B17)</f>
        <v>47.5</v>
      </c>
      <c r="K16" s="5" t="s">
        <v>206</v>
      </c>
      <c r="L16" s="5">
        <v>25</v>
      </c>
      <c r="M16" s="16">
        <f>VLOOKUP(K16,赔率!$B:$F,5,0)</f>
        <v>1.9</v>
      </c>
      <c r="N16" s="5">
        <f>CaculatePlayerGet(K16,L16,M16,$B15,$B16,$B17)</f>
        <v>47.5</v>
      </c>
      <c r="O16" s="6"/>
      <c r="P16" s="6"/>
      <c r="Q16" s="6"/>
      <c r="R16" s="6"/>
      <c r="S16" s="6"/>
    </row>
    <row r="17" spans="1:19" s="3" customFormat="1">
      <c r="A17" s="19" t="s">
        <v>8</v>
      </c>
      <c r="B17" s="20" t="str">
        <f>CaculateDragon(B13)</f>
        <v>合</v>
      </c>
      <c r="C17" s="5" t="s">
        <v>207</v>
      </c>
      <c r="D17" s="5">
        <v>30</v>
      </c>
      <c r="E17" s="16">
        <f>VLOOKUP(C17,赔率!$B:$F,5,0)</f>
        <v>1.9</v>
      </c>
      <c r="F17" s="5">
        <f>CaculatePlayerGet(C17,D17,E17,$B15,$B16,$B17)</f>
        <v>0</v>
      </c>
      <c r="G17" s="5" t="s">
        <v>207</v>
      </c>
      <c r="H17" s="5">
        <v>30</v>
      </c>
      <c r="I17" s="16">
        <f>VLOOKUP(G17,赔率!$B:$F,5,0)</f>
        <v>1.9</v>
      </c>
      <c r="J17" s="5">
        <f>CaculatePlayerGet(G17,H17,I17,$B15,$B16,$B17)</f>
        <v>0</v>
      </c>
      <c r="K17" s="5" t="s">
        <v>207</v>
      </c>
      <c r="L17" s="5">
        <v>30</v>
      </c>
      <c r="M17" s="16">
        <f>VLOOKUP(K17,赔率!$B:$F,5,0)</f>
        <v>1.9</v>
      </c>
      <c r="N17" s="5">
        <f>CaculatePlayerGet(K17,L17,M17,$B15,$B16,$B17)</f>
        <v>0</v>
      </c>
      <c r="O17" s="6"/>
      <c r="P17" s="6"/>
      <c r="Q17" s="6"/>
      <c r="R17" s="6"/>
      <c r="S17" s="6"/>
    </row>
    <row r="18" spans="1:19" s="3" customFormat="1">
      <c r="A18" s="13"/>
      <c r="C18" s="5" t="s">
        <v>215</v>
      </c>
      <c r="D18" s="5">
        <v>50</v>
      </c>
      <c r="E18" s="16">
        <f>VLOOKUP(C18,赔率!$B:$F,5,0)</f>
        <v>30</v>
      </c>
      <c r="F18" s="5">
        <f>CaculatePlayerGet(C18,D18,E18,$B15,$B16,$B17)</f>
        <v>1500</v>
      </c>
      <c r="G18" s="5" t="s">
        <v>208</v>
      </c>
      <c r="H18" s="5">
        <v>50</v>
      </c>
      <c r="I18" s="16">
        <f>VLOOKUP(G18,赔率!$B:$F,5,0)</f>
        <v>9</v>
      </c>
      <c r="J18" s="5">
        <f>CaculatePlayerGet(G18,H18,I18,$B15,$B16,$B17)</f>
        <v>0</v>
      </c>
      <c r="K18" s="5" t="s">
        <v>208</v>
      </c>
      <c r="L18" s="5">
        <v>50</v>
      </c>
      <c r="M18" s="16">
        <f>VLOOKUP(K18,赔率!$B:$F,5,0)</f>
        <v>9</v>
      </c>
      <c r="N18" s="5">
        <f>CaculatePlayerGet(K18,L18,M18,$B15,$B16,$B17)</f>
        <v>0</v>
      </c>
      <c r="O18" s="6"/>
      <c r="P18" s="6"/>
      <c r="Q18" s="6"/>
      <c r="R18" s="6"/>
      <c r="S18" s="6"/>
    </row>
    <row r="19" spans="1:19" s="3" customFormat="1">
      <c r="A19" s="13"/>
      <c r="C19" s="5" t="s">
        <v>209</v>
      </c>
      <c r="D19" s="5">
        <v>1</v>
      </c>
      <c r="E19" s="16" t="e">
        <f>VLOOKUP(C19,赔率!$B:$F,5,0)</f>
        <v>#N/A</v>
      </c>
      <c r="F19" s="5" t="e">
        <f>CaculatePlayerGet(C19,D19,E19,$B15,$B16,$B17)</f>
        <v>#VALUE!</v>
      </c>
      <c r="G19" s="5" t="s">
        <v>209</v>
      </c>
      <c r="H19" s="5">
        <v>1</v>
      </c>
      <c r="I19" s="16" t="e">
        <f>VLOOKUP(G19,赔率!$B:$F,5,0)</f>
        <v>#N/A</v>
      </c>
      <c r="J19" s="5" t="e">
        <f>CaculatePlayerGet(G19,H19,I19,$B15,$B16,$B17)</f>
        <v>#VALUE!</v>
      </c>
      <c r="K19" s="5" t="s">
        <v>209</v>
      </c>
      <c r="L19" s="5">
        <v>1</v>
      </c>
      <c r="M19" s="16" t="e">
        <f>VLOOKUP(K19,赔率!$B:$F,5,0)</f>
        <v>#N/A</v>
      </c>
      <c r="N19" s="5" t="e">
        <f>CaculatePlayerGet(K19,L19,M19,$B15,$B16,$B17)</f>
        <v>#VALUE!</v>
      </c>
      <c r="O19" s="6"/>
      <c r="P19" s="6"/>
      <c r="Q19" s="6"/>
      <c r="R19" s="6"/>
      <c r="S19" s="6"/>
    </row>
    <row r="20" spans="1:19" s="3" customFormat="1">
      <c r="A20" s="13"/>
      <c r="C20" s="5" t="s">
        <v>210</v>
      </c>
      <c r="D20" s="5">
        <v>100</v>
      </c>
      <c r="E20" s="16" t="e">
        <f>VLOOKUP(C20,赔率!$B:$F,5,0)</f>
        <v>#N/A</v>
      </c>
      <c r="F20" s="5" t="e">
        <f>CaculatePlayerGet(C20,D20,E20,$B15,$B16,$B17)</f>
        <v>#VALUE!</v>
      </c>
      <c r="G20" s="5" t="s">
        <v>210</v>
      </c>
      <c r="H20" s="5">
        <v>100</v>
      </c>
      <c r="I20" s="16" t="e">
        <f>VLOOKUP(G20,赔率!$B:$F,5,0)</f>
        <v>#N/A</v>
      </c>
      <c r="J20" s="5" t="e">
        <f>CaculatePlayerGet(G20,H20,I20,$B15,$B16,$B17)</f>
        <v>#VALUE!</v>
      </c>
      <c r="K20" s="5" t="s">
        <v>210</v>
      </c>
      <c r="L20" s="5">
        <v>100</v>
      </c>
      <c r="M20" s="16" t="e">
        <f>VLOOKUP(K20,赔率!$B:$F,5,0)</f>
        <v>#N/A</v>
      </c>
      <c r="N20" s="5" t="e">
        <f>CaculatePlayerGet(K20,L20,M20,$B15,$B16,$B17)</f>
        <v>#VALUE!</v>
      </c>
      <c r="O20" s="6"/>
      <c r="P20" s="6"/>
      <c r="Q20" s="6"/>
      <c r="R20" s="6"/>
      <c r="S20" s="6"/>
    </row>
    <row r="21" spans="1:19" s="18" customFormat="1" ht="14.25" thickBot="1">
      <c r="A21" s="17" t="s">
        <v>212</v>
      </c>
      <c r="C21" s="18" t="e">
        <f>D21+F21</f>
        <v>#VALUE!</v>
      </c>
      <c r="D21" s="18">
        <f>-SUM(D13:D20)</f>
        <v>-336</v>
      </c>
      <c r="F21" s="18" t="e">
        <f>SUM(F13:F20)</f>
        <v>#VALUE!</v>
      </c>
      <c r="G21" s="18" t="e">
        <f>H21+J21</f>
        <v>#VALUE!</v>
      </c>
      <c r="H21" s="18">
        <f>-SUM(H13:H20)</f>
        <v>-336</v>
      </c>
      <c r="J21" s="18" t="e">
        <f>SUM(J13:J20)</f>
        <v>#VALUE!</v>
      </c>
      <c r="K21" s="18" t="e">
        <f>L21+N21</f>
        <v>#VALUE!</v>
      </c>
      <c r="L21" s="18">
        <f>-SUM(L13:L20)</f>
        <v>-336</v>
      </c>
      <c r="N21" s="18" t="e">
        <f>SUM(N13:N20)</f>
        <v>#VALUE!</v>
      </c>
    </row>
  </sheetData>
  <mergeCells count="3">
    <mergeCell ref="C1:F1"/>
    <mergeCell ref="G1:J1"/>
    <mergeCell ref="K1:N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9"/>
  <sheetViews>
    <sheetView workbookViewId="0">
      <selection activeCell="B2" sqref="B2"/>
    </sheetView>
  </sheetViews>
  <sheetFormatPr defaultRowHeight="13.5"/>
  <cols>
    <col min="1" max="2" width="11.25" customWidth="1"/>
    <col min="3" max="4" width="12" customWidth="1"/>
    <col min="5" max="5" width="12.5" customWidth="1"/>
    <col min="6" max="6" width="13.25" customWidth="1"/>
  </cols>
  <sheetData>
    <row r="1" spans="1:6">
      <c r="A1" t="s">
        <v>196</v>
      </c>
      <c r="B1" t="s">
        <v>214</v>
      </c>
      <c r="C1" t="s">
        <v>197</v>
      </c>
      <c r="D1" t="s">
        <v>198</v>
      </c>
      <c r="E1" t="s">
        <v>199</v>
      </c>
      <c r="F1" t="s">
        <v>200</v>
      </c>
    </row>
    <row r="2" spans="1:6">
      <c r="A2" t="s">
        <v>177</v>
      </c>
      <c r="B2" t="str">
        <f>IF(A2="不吃","X","")&amp;C2</f>
        <v>X合</v>
      </c>
      <c r="C2" t="s">
        <v>3</v>
      </c>
      <c r="D2">
        <v>10</v>
      </c>
      <c r="E2">
        <v>300</v>
      </c>
      <c r="F2">
        <v>0.5</v>
      </c>
    </row>
    <row r="3" spans="1:6">
      <c r="A3" t="s">
        <v>177</v>
      </c>
      <c r="B3" t="str">
        <f t="shared" ref="B3:B59" si="0">IF(A3="不吃","X","")&amp;C3</f>
        <v>X和</v>
      </c>
      <c r="C3" t="s">
        <v>178</v>
      </c>
      <c r="D3">
        <v>10</v>
      </c>
      <c r="E3">
        <v>300</v>
      </c>
      <c r="F3">
        <v>0.5</v>
      </c>
    </row>
    <row r="4" spans="1:6">
      <c r="A4" t="s">
        <v>179</v>
      </c>
      <c r="B4" t="str">
        <f t="shared" si="0"/>
        <v>大</v>
      </c>
      <c r="C4" t="s">
        <v>180</v>
      </c>
      <c r="D4">
        <v>10</v>
      </c>
      <c r="E4">
        <v>2000</v>
      </c>
      <c r="F4">
        <v>1.95</v>
      </c>
    </row>
    <row r="5" spans="1:6">
      <c r="A5" t="s">
        <v>179</v>
      </c>
      <c r="B5" t="str">
        <f t="shared" si="0"/>
        <v>和</v>
      </c>
      <c r="C5" t="s">
        <v>178</v>
      </c>
      <c r="D5">
        <v>10</v>
      </c>
      <c r="E5">
        <v>300</v>
      </c>
      <c r="F5">
        <v>12</v>
      </c>
    </row>
    <row r="6" spans="1:6">
      <c r="A6" t="s">
        <v>179</v>
      </c>
      <c r="B6" t="str">
        <f t="shared" si="0"/>
        <v>小</v>
      </c>
      <c r="C6" t="s">
        <v>181</v>
      </c>
      <c r="D6">
        <v>10</v>
      </c>
      <c r="E6">
        <v>2000</v>
      </c>
      <c r="F6">
        <v>1.95</v>
      </c>
    </row>
    <row r="7" spans="1:6">
      <c r="A7" t="s">
        <v>6</v>
      </c>
      <c r="B7" t="str">
        <f t="shared" si="0"/>
        <v>单</v>
      </c>
      <c r="C7" t="s">
        <v>182</v>
      </c>
      <c r="D7">
        <v>10</v>
      </c>
      <c r="E7">
        <v>2000</v>
      </c>
      <c r="F7">
        <v>1.9</v>
      </c>
    </row>
    <row r="8" spans="1:6">
      <c r="A8" t="s">
        <v>6</v>
      </c>
      <c r="B8" t="str">
        <f t="shared" si="0"/>
        <v>双</v>
      </c>
      <c r="C8" t="s">
        <v>183</v>
      </c>
      <c r="D8">
        <v>10</v>
      </c>
      <c r="E8">
        <v>2000</v>
      </c>
      <c r="F8">
        <v>1.9</v>
      </c>
    </row>
    <row r="9" spans="1:6">
      <c r="A9" t="s">
        <v>184</v>
      </c>
      <c r="B9" t="str">
        <f t="shared" si="0"/>
        <v>大</v>
      </c>
      <c r="C9" t="s">
        <v>180</v>
      </c>
      <c r="D9">
        <v>20</v>
      </c>
      <c r="E9">
        <v>2000</v>
      </c>
      <c r="F9">
        <v>1.9</v>
      </c>
    </row>
    <row r="10" spans="1:6">
      <c r="A10" t="s">
        <v>184</v>
      </c>
      <c r="B10" t="str">
        <f t="shared" si="0"/>
        <v>单</v>
      </c>
      <c r="C10" t="s">
        <v>182</v>
      </c>
      <c r="D10">
        <v>20</v>
      </c>
      <c r="E10">
        <v>2000</v>
      </c>
      <c r="F10">
        <v>1.9</v>
      </c>
    </row>
    <row r="11" spans="1:6">
      <c r="A11" t="s">
        <v>184</v>
      </c>
      <c r="B11" t="str">
        <f t="shared" si="0"/>
        <v>和</v>
      </c>
      <c r="C11" t="s">
        <v>178</v>
      </c>
      <c r="D11">
        <v>20</v>
      </c>
      <c r="E11">
        <v>2000</v>
      </c>
      <c r="F11">
        <v>1.9</v>
      </c>
    </row>
    <row r="12" spans="1:6">
      <c r="A12" t="s">
        <v>184</v>
      </c>
      <c r="B12" t="str">
        <f t="shared" si="0"/>
        <v>数字</v>
      </c>
      <c r="C12" t="s">
        <v>185</v>
      </c>
      <c r="D12">
        <v>10</v>
      </c>
      <c r="E12">
        <v>300</v>
      </c>
      <c r="F12">
        <v>9</v>
      </c>
    </row>
    <row r="13" spans="1:6">
      <c r="A13" t="s">
        <v>184</v>
      </c>
      <c r="B13" t="str">
        <f t="shared" si="0"/>
        <v>双</v>
      </c>
      <c r="C13" t="s">
        <v>183</v>
      </c>
      <c r="D13">
        <v>20</v>
      </c>
      <c r="E13">
        <v>2000</v>
      </c>
      <c r="F13">
        <v>1.9</v>
      </c>
    </row>
    <row r="14" spans="1:6">
      <c r="A14" t="s">
        <v>184</v>
      </c>
      <c r="B14" t="str">
        <f t="shared" si="0"/>
        <v>小</v>
      </c>
      <c r="C14" t="s">
        <v>181</v>
      </c>
      <c r="D14">
        <v>20</v>
      </c>
      <c r="E14">
        <v>2000</v>
      </c>
      <c r="F14">
        <v>1.9</v>
      </c>
    </row>
    <row r="15" spans="1:6">
      <c r="A15" t="s">
        <v>186</v>
      </c>
      <c r="B15" t="str">
        <f t="shared" si="0"/>
        <v>合</v>
      </c>
      <c r="C15" t="s">
        <v>3</v>
      </c>
      <c r="D15">
        <v>10</v>
      </c>
      <c r="E15">
        <v>300</v>
      </c>
      <c r="F15">
        <v>9</v>
      </c>
    </row>
    <row r="16" spans="1:6">
      <c r="A16" t="s">
        <v>186</v>
      </c>
      <c r="B16" t="str">
        <f t="shared" si="0"/>
        <v>虎</v>
      </c>
      <c r="C16" t="s">
        <v>187</v>
      </c>
      <c r="D16">
        <v>29.99</v>
      </c>
      <c r="E16">
        <v>2000</v>
      </c>
      <c r="F16">
        <v>2.1</v>
      </c>
    </row>
    <row r="17" spans="1:6">
      <c r="A17" t="s">
        <v>186</v>
      </c>
      <c r="B17" t="str">
        <f t="shared" si="0"/>
        <v>虎</v>
      </c>
      <c r="C17" t="s">
        <v>187</v>
      </c>
      <c r="D17">
        <v>10</v>
      </c>
      <c r="E17">
        <v>29.99</v>
      </c>
      <c r="F17">
        <v>2</v>
      </c>
    </row>
    <row r="18" spans="1:6">
      <c r="A18" t="s">
        <v>186</v>
      </c>
      <c r="B18" t="str">
        <f t="shared" si="0"/>
        <v>龙</v>
      </c>
      <c r="C18" t="s">
        <v>188</v>
      </c>
      <c r="D18">
        <v>29.99</v>
      </c>
      <c r="E18">
        <v>2000</v>
      </c>
      <c r="F18">
        <v>2.1</v>
      </c>
    </row>
    <row r="19" spans="1:6">
      <c r="A19" t="s">
        <v>186</v>
      </c>
      <c r="B19" t="str">
        <f t="shared" si="0"/>
        <v>龙</v>
      </c>
      <c r="C19" t="s">
        <v>188</v>
      </c>
      <c r="D19">
        <v>10</v>
      </c>
      <c r="E19">
        <v>29.99</v>
      </c>
      <c r="F19">
        <v>2</v>
      </c>
    </row>
    <row r="20" spans="1:6">
      <c r="A20" t="s">
        <v>189</v>
      </c>
      <c r="B20" t="str">
        <f t="shared" si="0"/>
        <v>连1个</v>
      </c>
      <c r="C20" t="s">
        <v>190</v>
      </c>
      <c r="D20">
        <v>20</v>
      </c>
      <c r="E20">
        <v>2000</v>
      </c>
      <c r="F20">
        <v>1.9</v>
      </c>
    </row>
    <row r="21" spans="1:6">
      <c r="A21" t="s">
        <v>189</v>
      </c>
      <c r="B21" t="str">
        <f t="shared" si="0"/>
        <v>连2个</v>
      </c>
      <c r="C21" t="s">
        <v>191</v>
      </c>
      <c r="D21">
        <v>20</v>
      </c>
      <c r="E21">
        <v>2000</v>
      </c>
      <c r="F21">
        <v>3.8</v>
      </c>
    </row>
    <row r="22" spans="1:6">
      <c r="A22" t="s">
        <v>189</v>
      </c>
      <c r="B22" t="str">
        <f t="shared" si="0"/>
        <v>连3个</v>
      </c>
      <c r="C22" t="s">
        <v>192</v>
      </c>
      <c r="D22">
        <v>20</v>
      </c>
      <c r="E22">
        <v>2000</v>
      </c>
      <c r="F22">
        <v>6</v>
      </c>
    </row>
    <row r="23" spans="1:6">
      <c r="A23" t="s">
        <v>189</v>
      </c>
      <c r="B23" t="str">
        <f t="shared" si="0"/>
        <v>连4个</v>
      </c>
      <c r="C23" t="s">
        <v>193</v>
      </c>
      <c r="D23">
        <v>20</v>
      </c>
      <c r="E23">
        <v>2000</v>
      </c>
      <c r="F23">
        <v>16</v>
      </c>
    </row>
    <row r="24" spans="1:6">
      <c r="A24" t="s">
        <v>189</v>
      </c>
      <c r="B24" t="str">
        <f t="shared" si="0"/>
        <v>连5个</v>
      </c>
      <c r="C24" t="s">
        <v>194</v>
      </c>
      <c r="D24">
        <v>20</v>
      </c>
      <c r="E24">
        <v>2000</v>
      </c>
      <c r="F24">
        <v>30</v>
      </c>
    </row>
    <row r="25" spans="1:6">
      <c r="A25" t="s">
        <v>195</v>
      </c>
      <c r="B25" t="str">
        <f t="shared" si="0"/>
        <v>大单</v>
      </c>
      <c r="C25" t="s">
        <v>137</v>
      </c>
      <c r="D25">
        <v>10</v>
      </c>
      <c r="E25">
        <v>300</v>
      </c>
      <c r="F25">
        <v>4</v>
      </c>
    </row>
    <row r="26" spans="1:6">
      <c r="A26" t="s">
        <v>195</v>
      </c>
      <c r="B26" t="str">
        <f t="shared" si="0"/>
        <v>大单合</v>
      </c>
      <c r="C26" t="s">
        <v>57</v>
      </c>
      <c r="D26">
        <v>10</v>
      </c>
      <c r="E26">
        <v>300</v>
      </c>
      <c r="F26">
        <v>30</v>
      </c>
    </row>
    <row r="27" spans="1:6">
      <c r="A27" t="s">
        <v>195</v>
      </c>
      <c r="B27" t="str">
        <f t="shared" si="0"/>
        <v>大单虎</v>
      </c>
      <c r="C27" t="s">
        <v>55</v>
      </c>
      <c r="D27">
        <v>10</v>
      </c>
      <c r="E27">
        <v>300</v>
      </c>
      <c r="F27">
        <v>9</v>
      </c>
    </row>
    <row r="28" spans="1:6">
      <c r="A28" t="s">
        <v>195</v>
      </c>
      <c r="B28" t="str">
        <f t="shared" si="0"/>
        <v>大单龙</v>
      </c>
      <c r="C28" t="s">
        <v>53</v>
      </c>
      <c r="D28">
        <v>10</v>
      </c>
      <c r="E28">
        <v>300</v>
      </c>
      <c r="F28">
        <v>9</v>
      </c>
    </row>
    <row r="29" spans="1:6">
      <c r="A29" t="s">
        <v>195</v>
      </c>
      <c r="B29" t="str">
        <f t="shared" si="0"/>
        <v>大合</v>
      </c>
      <c r="C29" t="s">
        <v>149</v>
      </c>
      <c r="D29">
        <v>10</v>
      </c>
      <c r="E29">
        <v>300</v>
      </c>
      <c r="F29">
        <v>20</v>
      </c>
    </row>
    <row r="30" spans="1:6">
      <c r="A30" t="s">
        <v>195</v>
      </c>
      <c r="B30" t="str">
        <f t="shared" si="0"/>
        <v>大虎</v>
      </c>
      <c r="C30" t="s">
        <v>148</v>
      </c>
      <c r="D30">
        <v>10</v>
      </c>
      <c r="E30">
        <v>300</v>
      </c>
      <c r="F30">
        <v>20</v>
      </c>
    </row>
    <row r="31" spans="1:6">
      <c r="A31" t="s">
        <v>195</v>
      </c>
      <c r="B31" t="str">
        <f t="shared" si="0"/>
        <v>大龙</v>
      </c>
      <c r="C31" t="s">
        <v>147</v>
      </c>
      <c r="D31">
        <v>10</v>
      </c>
      <c r="E31">
        <v>300</v>
      </c>
      <c r="F31">
        <v>20</v>
      </c>
    </row>
    <row r="32" spans="1:6">
      <c r="A32" t="s">
        <v>195</v>
      </c>
      <c r="B32" t="str">
        <f t="shared" si="0"/>
        <v>大双</v>
      </c>
      <c r="C32" t="s">
        <v>138</v>
      </c>
      <c r="D32">
        <v>10</v>
      </c>
      <c r="E32">
        <v>300</v>
      </c>
      <c r="F32">
        <v>4</v>
      </c>
    </row>
    <row r="33" spans="1:6">
      <c r="A33" t="s">
        <v>195</v>
      </c>
      <c r="B33" t="str">
        <f t="shared" si="0"/>
        <v>大双合</v>
      </c>
      <c r="C33" t="s">
        <v>58</v>
      </c>
      <c r="D33">
        <v>10</v>
      </c>
      <c r="E33">
        <v>300</v>
      </c>
      <c r="F33">
        <v>30</v>
      </c>
    </row>
    <row r="34" spans="1:6">
      <c r="A34" t="s">
        <v>195</v>
      </c>
      <c r="B34" t="str">
        <f t="shared" si="0"/>
        <v>大双虎</v>
      </c>
      <c r="C34" t="s">
        <v>56</v>
      </c>
      <c r="D34">
        <v>10</v>
      </c>
      <c r="E34">
        <v>300</v>
      </c>
      <c r="F34">
        <v>9</v>
      </c>
    </row>
    <row r="35" spans="1:6">
      <c r="A35" t="s">
        <v>195</v>
      </c>
      <c r="B35" t="str">
        <f t="shared" si="0"/>
        <v>大双龙</v>
      </c>
      <c r="C35" t="s">
        <v>54</v>
      </c>
      <c r="D35">
        <v>10</v>
      </c>
      <c r="E35">
        <v>300</v>
      </c>
      <c r="F35">
        <v>9</v>
      </c>
    </row>
    <row r="36" spans="1:6">
      <c r="A36" t="s">
        <v>195</v>
      </c>
      <c r="B36" t="str">
        <f t="shared" si="0"/>
        <v>单合</v>
      </c>
      <c r="C36" t="s">
        <v>167</v>
      </c>
      <c r="D36">
        <v>10</v>
      </c>
      <c r="E36">
        <v>300</v>
      </c>
      <c r="F36">
        <v>20</v>
      </c>
    </row>
    <row r="37" spans="1:6">
      <c r="A37" t="s">
        <v>195</v>
      </c>
      <c r="B37" t="str">
        <f t="shared" si="0"/>
        <v>单虎</v>
      </c>
      <c r="C37" t="s">
        <v>166</v>
      </c>
      <c r="D37">
        <v>10</v>
      </c>
      <c r="E37">
        <v>300</v>
      </c>
      <c r="F37">
        <v>20</v>
      </c>
    </row>
    <row r="38" spans="1:6">
      <c r="A38" t="s">
        <v>195</v>
      </c>
      <c r="B38" t="str">
        <f t="shared" si="0"/>
        <v>单龙</v>
      </c>
      <c r="C38" t="s">
        <v>165</v>
      </c>
      <c r="D38">
        <v>10</v>
      </c>
      <c r="E38">
        <v>300</v>
      </c>
      <c r="F38">
        <v>20</v>
      </c>
    </row>
    <row r="39" spans="1:6">
      <c r="A39" t="s">
        <v>195</v>
      </c>
      <c r="B39" t="str">
        <f t="shared" si="0"/>
        <v>和单</v>
      </c>
      <c r="C39" t="s">
        <v>141</v>
      </c>
      <c r="D39">
        <v>10</v>
      </c>
      <c r="E39">
        <v>300</v>
      </c>
      <c r="F39">
        <v>20</v>
      </c>
    </row>
    <row r="40" spans="1:6">
      <c r="A40" t="s">
        <v>195</v>
      </c>
      <c r="B40" t="str">
        <f t="shared" si="0"/>
        <v>和单合</v>
      </c>
      <c r="C40" t="s">
        <v>76</v>
      </c>
      <c r="D40">
        <v>10</v>
      </c>
      <c r="E40">
        <v>300</v>
      </c>
      <c r="F40">
        <v>30</v>
      </c>
    </row>
    <row r="41" spans="1:6">
      <c r="A41" t="s">
        <v>195</v>
      </c>
      <c r="B41" t="str">
        <f t="shared" si="0"/>
        <v>和单虎</v>
      </c>
      <c r="C41" t="s">
        <v>75</v>
      </c>
      <c r="D41">
        <v>10</v>
      </c>
      <c r="E41">
        <v>300</v>
      </c>
      <c r="F41">
        <v>30</v>
      </c>
    </row>
    <row r="42" spans="1:6">
      <c r="A42" t="s">
        <v>195</v>
      </c>
      <c r="B42" t="str">
        <f t="shared" si="0"/>
        <v>和单龙</v>
      </c>
      <c r="C42" t="s">
        <v>74</v>
      </c>
      <c r="D42">
        <v>10</v>
      </c>
      <c r="E42">
        <v>300</v>
      </c>
      <c r="F42">
        <v>30</v>
      </c>
    </row>
    <row r="43" spans="1:6">
      <c r="A43" t="s">
        <v>195</v>
      </c>
      <c r="B43" t="str">
        <f t="shared" si="0"/>
        <v>和合</v>
      </c>
      <c r="C43" t="s">
        <v>155</v>
      </c>
      <c r="D43">
        <v>10</v>
      </c>
      <c r="E43">
        <v>300</v>
      </c>
      <c r="F43">
        <v>30</v>
      </c>
    </row>
    <row r="44" spans="1:6">
      <c r="A44" t="s">
        <v>195</v>
      </c>
      <c r="B44" t="str">
        <f t="shared" si="0"/>
        <v>和虎</v>
      </c>
      <c r="C44" t="s">
        <v>154</v>
      </c>
      <c r="D44">
        <v>10</v>
      </c>
      <c r="E44">
        <v>300</v>
      </c>
      <c r="F44">
        <v>20</v>
      </c>
    </row>
    <row r="45" spans="1:6">
      <c r="A45" t="s">
        <v>195</v>
      </c>
      <c r="B45" t="str">
        <f t="shared" si="0"/>
        <v>和龙</v>
      </c>
      <c r="C45" t="s">
        <v>153</v>
      </c>
      <c r="D45">
        <v>10</v>
      </c>
      <c r="E45">
        <v>300</v>
      </c>
      <c r="F45">
        <v>20</v>
      </c>
    </row>
    <row r="46" spans="1:6">
      <c r="A46" t="s">
        <v>195</v>
      </c>
      <c r="B46" t="str">
        <f t="shared" si="0"/>
        <v>双合</v>
      </c>
      <c r="C46" t="s">
        <v>170</v>
      </c>
      <c r="D46">
        <v>10</v>
      </c>
      <c r="E46">
        <v>300</v>
      </c>
      <c r="F46">
        <v>20</v>
      </c>
    </row>
    <row r="47" spans="1:6">
      <c r="A47" t="s">
        <v>195</v>
      </c>
      <c r="B47" t="str">
        <f t="shared" si="0"/>
        <v>双虎</v>
      </c>
      <c r="C47" t="s">
        <v>169</v>
      </c>
      <c r="D47">
        <v>10</v>
      </c>
      <c r="E47">
        <v>300</v>
      </c>
      <c r="F47">
        <v>20</v>
      </c>
    </row>
    <row r="48" spans="1:6">
      <c r="A48" t="s">
        <v>195</v>
      </c>
      <c r="B48" t="str">
        <f t="shared" si="0"/>
        <v>双龙</v>
      </c>
      <c r="C48" t="s">
        <v>168</v>
      </c>
      <c r="D48">
        <v>10</v>
      </c>
      <c r="E48">
        <v>300</v>
      </c>
      <c r="F48">
        <v>20</v>
      </c>
    </row>
    <row r="49" spans="1:6">
      <c r="A49" t="s">
        <v>195</v>
      </c>
      <c r="B49" t="str">
        <f t="shared" si="0"/>
        <v>小单</v>
      </c>
      <c r="C49" t="s">
        <v>139</v>
      </c>
      <c r="D49">
        <v>10</v>
      </c>
      <c r="E49">
        <v>300</v>
      </c>
      <c r="F49">
        <v>4</v>
      </c>
    </row>
    <row r="50" spans="1:6">
      <c r="A50" t="s">
        <v>195</v>
      </c>
      <c r="B50" t="str">
        <f t="shared" si="0"/>
        <v>小单合</v>
      </c>
      <c r="C50" t="s">
        <v>69</v>
      </c>
      <c r="D50">
        <v>10</v>
      </c>
      <c r="E50">
        <v>300</v>
      </c>
      <c r="F50">
        <v>30</v>
      </c>
    </row>
    <row r="51" spans="1:6">
      <c r="A51" t="s">
        <v>195</v>
      </c>
      <c r="B51" t="str">
        <f t="shared" si="0"/>
        <v>小单虎</v>
      </c>
      <c r="C51" t="s">
        <v>67</v>
      </c>
      <c r="D51">
        <v>10</v>
      </c>
      <c r="E51">
        <v>300</v>
      </c>
      <c r="F51">
        <v>9</v>
      </c>
    </row>
    <row r="52" spans="1:6">
      <c r="A52" t="s">
        <v>195</v>
      </c>
      <c r="B52" t="str">
        <f t="shared" si="0"/>
        <v>小单龙</v>
      </c>
      <c r="C52" t="s">
        <v>65</v>
      </c>
      <c r="D52">
        <v>10</v>
      </c>
      <c r="E52">
        <v>300</v>
      </c>
      <c r="F52">
        <v>9</v>
      </c>
    </row>
    <row r="53" spans="1:6">
      <c r="A53" t="s">
        <v>195</v>
      </c>
      <c r="B53" t="str">
        <f t="shared" si="0"/>
        <v>小合</v>
      </c>
      <c r="C53" t="s">
        <v>152</v>
      </c>
      <c r="D53">
        <v>10</v>
      </c>
      <c r="E53">
        <v>300</v>
      </c>
      <c r="F53">
        <v>20</v>
      </c>
    </row>
    <row r="54" spans="1:6">
      <c r="A54" t="s">
        <v>195</v>
      </c>
      <c r="B54" t="str">
        <f t="shared" si="0"/>
        <v>小虎</v>
      </c>
      <c r="C54" t="s">
        <v>151</v>
      </c>
      <c r="D54">
        <v>10</v>
      </c>
      <c r="E54">
        <v>300</v>
      </c>
      <c r="F54">
        <v>20</v>
      </c>
    </row>
    <row r="55" spans="1:6">
      <c r="A55" t="s">
        <v>195</v>
      </c>
      <c r="B55" t="str">
        <f t="shared" si="0"/>
        <v>小龙</v>
      </c>
      <c r="C55" t="s">
        <v>150</v>
      </c>
      <c r="D55">
        <v>10</v>
      </c>
      <c r="E55">
        <v>300</v>
      </c>
      <c r="F55">
        <v>20</v>
      </c>
    </row>
    <row r="56" spans="1:6">
      <c r="A56" t="s">
        <v>195</v>
      </c>
      <c r="B56" t="str">
        <f t="shared" si="0"/>
        <v>小双</v>
      </c>
      <c r="C56" t="s">
        <v>140</v>
      </c>
      <c r="D56">
        <v>10</v>
      </c>
      <c r="E56">
        <v>300</v>
      </c>
      <c r="F56">
        <v>4</v>
      </c>
    </row>
    <row r="57" spans="1:6">
      <c r="A57" t="s">
        <v>195</v>
      </c>
      <c r="B57" t="str">
        <f t="shared" si="0"/>
        <v>小双合</v>
      </c>
      <c r="C57" t="s">
        <v>70</v>
      </c>
      <c r="D57">
        <v>10</v>
      </c>
      <c r="E57">
        <v>300</v>
      </c>
      <c r="F57">
        <v>30</v>
      </c>
    </row>
    <row r="58" spans="1:6">
      <c r="A58" t="s">
        <v>195</v>
      </c>
      <c r="B58" t="str">
        <f t="shared" si="0"/>
        <v>小双虎</v>
      </c>
      <c r="C58" t="s">
        <v>68</v>
      </c>
      <c r="D58">
        <v>10</v>
      </c>
      <c r="E58">
        <v>300</v>
      </c>
      <c r="F58">
        <v>9</v>
      </c>
    </row>
    <row r="59" spans="1:6">
      <c r="A59" t="s">
        <v>195</v>
      </c>
      <c r="B59" t="str">
        <f t="shared" si="0"/>
        <v>小双龙</v>
      </c>
      <c r="C59" t="s">
        <v>66</v>
      </c>
      <c r="D59">
        <v>10</v>
      </c>
      <c r="E59">
        <v>300</v>
      </c>
      <c r="F59">
        <v>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0"/>
  <sheetViews>
    <sheetView topLeftCell="A61" workbookViewId="0">
      <selection activeCell="D8" sqref="D8"/>
    </sheetView>
  </sheetViews>
  <sheetFormatPr defaultRowHeight="13.5"/>
  <cols>
    <col min="1" max="1" width="9.375" customWidth="1"/>
  </cols>
  <sheetData>
    <row r="1" spans="1:2">
      <c r="A1" t="s">
        <v>12</v>
      </c>
      <c r="B1" t="s">
        <v>14</v>
      </c>
    </row>
    <row r="2" spans="1:2">
      <c r="A2" t="s">
        <v>13</v>
      </c>
      <c r="B2" t="s">
        <v>15</v>
      </c>
    </row>
    <row r="3" spans="1:2">
      <c r="A3" t="s">
        <v>49</v>
      </c>
      <c r="B3" t="s">
        <v>16</v>
      </c>
    </row>
    <row r="4" spans="1:2">
      <c r="A4" s="1" t="s">
        <v>50</v>
      </c>
      <c r="B4" t="s">
        <v>17</v>
      </c>
    </row>
    <row r="5" spans="1:2">
      <c r="A5" t="s">
        <v>51</v>
      </c>
      <c r="B5" t="s">
        <v>18</v>
      </c>
    </row>
    <row r="6" spans="1:2">
      <c r="A6" t="s">
        <v>52</v>
      </c>
      <c r="B6" t="s">
        <v>19</v>
      </c>
    </row>
    <row r="7" spans="1:2">
      <c r="A7" t="s">
        <v>53</v>
      </c>
      <c r="B7" t="s">
        <v>14</v>
      </c>
    </row>
    <row r="8" spans="1:2">
      <c r="A8" t="s">
        <v>54</v>
      </c>
      <c r="B8" t="s">
        <v>17</v>
      </c>
    </row>
    <row r="9" spans="1:2">
      <c r="A9" t="s">
        <v>55</v>
      </c>
      <c r="B9" t="s">
        <v>15</v>
      </c>
    </row>
    <row r="10" spans="1:2">
      <c r="A10" t="s">
        <v>56</v>
      </c>
      <c r="B10" t="s">
        <v>18</v>
      </c>
    </row>
    <row r="11" spans="1:2">
      <c r="A11" t="s">
        <v>57</v>
      </c>
      <c r="B11" t="s">
        <v>16</v>
      </c>
    </row>
    <row r="12" spans="1:2">
      <c r="A12" t="s">
        <v>58</v>
      </c>
      <c r="B12" t="s">
        <v>19</v>
      </c>
    </row>
    <row r="13" spans="1:2">
      <c r="A13" t="s">
        <v>59</v>
      </c>
      <c r="B13" t="s">
        <v>20</v>
      </c>
    </row>
    <row r="14" spans="1:2">
      <c r="A14" t="s">
        <v>60</v>
      </c>
      <c r="B14" t="s">
        <v>21</v>
      </c>
    </row>
    <row r="15" spans="1:2">
      <c r="A15" t="s">
        <v>61</v>
      </c>
      <c r="B15" t="s">
        <v>22</v>
      </c>
    </row>
    <row r="16" spans="1:2">
      <c r="A16" t="s">
        <v>62</v>
      </c>
      <c r="B16" t="s">
        <v>23</v>
      </c>
    </row>
    <row r="17" spans="1:2">
      <c r="A17" t="s">
        <v>63</v>
      </c>
      <c r="B17" t="s">
        <v>24</v>
      </c>
    </row>
    <row r="18" spans="1:2">
      <c r="A18" t="s">
        <v>64</v>
      </c>
      <c r="B18" t="s">
        <v>25</v>
      </c>
    </row>
    <row r="19" spans="1:2">
      <c r="A19" t="s">
        <v>65</v>
      </c>
      <c r="B19" t="s">
        <v>20</v>
      </c>
    </row>
    <row r="20" spans="1:2">
      <c r="A20" t="s">
        <v>66</v>
      </c>
      <c r="B20" t="s">
        <v>23</v>
      </c>
    </row>
    <row r="21" spans="1:2">
      <c r="A21" t="s">
        <v>67</v>
      </c>
      <c r="B21" t="s">
        <v>21</v>
      </c>
    </row>
    <row r="22" spans="1:2">
      <c r="A22" t="s">
        <v>68</v>
      </c>
      <c r="B22" t="s">
        <v>24</v>
      </c>
    </row>
    <row r="23" spans="1:2">
      <c r="A23" t="s">
        <v>69</v>
      </c>
      <c r="B23" t="s">
        <v>22</v>
      </c>
    </row>
    <row r="24" spans="1:2">
      <c r="A24" t="s">
        <v>70</v>
      </c>
      <c r="B24" t="s">
        <v>25</v>
      </c>
    </row>
    <row r="25" spans="1:2">
      <c r="A25" t="s">
        <v>71</v>
      </c>
      <c r="B25" t="s">
        <v>26</v>
      </c>
    </row>
    <row r="26" spans="1:2">
      <c r="A26" t="s">
        <v>72</v>
      </c>
      <c r="B26" t="s">
        <v>27</v>
      </c>
    </row>
    <row r="27" spans="1:2">
      <c r="A27" t="s">
        <v>73</v>
      </c>
      <c r="B27" t="s">
        <v>28</v>
      </c>
    </row>
    <row r="28" spans="1:2">
      <c r="A28" t="s">
        <v>74</v>
      </c>
      <c r="B28" t="s">
        <v>26</v>
      </c>
    </row>
    <row r="29" spans="1:2">
      <c r="A29" t="s">
        <v>75</v>
      </c>
      <c r="B29" t="s">
        <v>27</v>
      </c>
    </row>
    <row r="30" spans="1:2">
      <c r="A30" t="s">
        <v>76</v>
      </c>
      <c r="B30" t="s">
        <v>28</v>
      </c>
    </row>
    <row r="31" spans="1:2">
      <c r="A31" t="s">
        <v>77</v>
      </c>
      <c r="B31" t="s">
        <v>14</v>
      </c>
    </row>
    <row r="32" spans="1:2">
      <c r="A32" t="s">
        <v>78</v>
      </c>
      <c r="B32" t="s">
        <v>15</v>
      </c>
    </row>
    <row r="33" spans="1:2">
      <c r="A33" t="s">
        <v>79</v>
      </c>
      <c r="B33" t="s">
        <v>16</v>
      </c>
    </row>
    <row r="34" spans="1:2">
      <c r="A34" t="s">
        <v>80</v>
      </c>
      <c r="B34" t="s">
        <v>20</v>
      </c>
    </row>
    <row r="35" spans="1:2">
      <c r="A35" t="s">
        <v>81</v>
      </c>
      <c r="B35" t="s">
        <v>21</v>
      </c>
    </row>
    <row r="36" spans="1:2">
      <c r="A36" t="s">
        <v>82</v>
      </c>
      <c r="B36" t="s">
        <v>22</v>
      </c>
    </row>
    <row r="37" spans="1:2">
      <c r="A37" t="s">
        <v>83</v>
      </c>
      <c r="B37" t="s">
        <v>26</v>
      </c>
    </row>
    <row r="38" spans="1:2">
      <c r="A38" t="s">
        <v>84</v>
      </c>
      <c r="B38" t="s">
        <v>27</v>
      </c>
    </row>
    <row r="39" spans="1:2">
      <c r="A39" t="s">
        <v>85</v>
      </c>
      <c r="B39" t="s">
        <v>28</v>
      </c>
    </row>
    <row r="40" spans="1:2">
      <c r="A40" t="s">
        <v>86</v>
      </c>
      <c r="B40" t="s">
        <v>14</v>
      </c>
    </row>
    <row r="41" spans="1:2">
      <c r="A41" t="s">
        <v>87</v>
      </c>
      <c r="B41" t="s">
        <v>20</v>
      </c>
    </row>
    <row r="42" spans="1:2">
      <c r="A42" t="s">
        <v>88</v>
      </c>
      <c r="B42" t="s">
        <v>26</v>
      </c>
    </row>
    <row r="43" spans="1:2">
      <c r="A43" t="s">
        <v>89</v>
      </c>
      <c r="B43" t="s">
        <v>15</v>
      </c>
    </row>
    <row r="44" spans="1:2">
      <c r="A44" t="s">
        <v>90</v>
      </c>
      <c r="B44" t="s">
        <v>21</v>
      </c>
    </row>
    <row r="45" spans="1:2">
      <c r="A45" t="s">
        <v>91</v>
      </c>
      <c r="B45" t="s">
        <v>27</v>
      </c>
    </row>
    <row r="46" spans="1:2">
      <c r="A46" t="s">
        <v>92</v>
      </c>
      <c r="B46" t="s">
        <v>16</v>
      </c>
    </row>
    <row r="47" spans="1:2">
      <c r="A47" t="s">
        <v>93</v>
      </c>
      <c r="B47" t="s">
        <v>22</v>
      </c>
    </row>
    <row r="48" spans="1:2">
      <c r="A48" t="s">
        <v>94</v>
      </c>
      <c r="B48" t="s">
        <v>28</v>
      </c>
    </row>
    <row r="49" spans="1:2">
      <c r="A49" t="s">
        <v>95</v>
      </c>
      <c r="B49" t="s">
        <v>17</v>
      </c>
    </row>
    <row r="50" spans="1:2">
      <c r="A50" t="s">
        <v>96</v>
      </c>
      <c r="B50" t="s">
        <v>18</v>
      </c>
    </row>
    <row r="51" spans="1:2">
      <c r="A51" t="s">
        <v>97</v>
      </c>
      <c r="B51" t="s">
        <v>19</v>
      </c>
    </row>
    <row r="52" spans="1:2">
      <c r="A52" t="s">
        <v>98</v>
      </c>
      <c r="B52" t="s">
        <v>23</v>
      </c>
    </row>
    <row r="53" spans="1:2">
      <c r="A53" t="s">
        <v>99</v>
      </c>
      <c r="B53" t="s">
        <v>24</v>
      </c>
    </row>
    <row r="54" spans="1:2">
      <c r="A54" t="s">
        <v>100</v>
      </c>
      <c r="B54" t="s">
        <v>25</v>
      </c>
    </row>
    <row r="55" spans="1:2">
      <c r="A55" t="s">
        <v>101</v>
      </c>
      <c r="B55" t="s">
        <v>17</v>
      </c>
    </row>
    <row r="56" spans="1:2">
      <c r="A56" t="s">
        <v>102</v>
      </c>
      <c r="B56" t="s">
        <v>23</v>
      </c>
    </row>
    <row r="57" spans="1:2">
      <c r="A57" t="s">
        <v>103</v>
      </c>
      <c r="B57" t="s">
        <v>18</v>
      </c>
    </row>
    <row r="58" spans="1:2">
      <c r="A58" t="s">
        <v>104</v>
      </c>
      <c r="B58" t="s">
        <v>24</v>
      </c>
    </row>
    <row r="59" spans="1:2">
      <c r="A59" t="s">
        <v>105</v>
      </c>
      <c r="B59" t="s">
        <v>19</v>
      </c>
    </row>
    <row r="60" spans="1:2">
      <c r="A60" t="s">
        <v>106</v>
      </c>
      <c r="B60" t="s">
        <v>25</v>
      </c>
    </row>
    <row r="61" spans="1:2">
      <c r="A61" t="s">
        <v>107</v>
      </c>
      <c r="B61" t="s">
        <v>14</v>
      </c>
    </row>
    <row r="62" spans="1:2">
      <c r="A62" t="s">
        <v>108</v>
      </c>
      <c r="B62" t="s">
        <v>17</v>
      </c>
    </row>
    <row r="63" spans="1:2">
      <c r="A63" t="s">
        <v>109</v>
      </c>
      <c r="B63" t="s">
        <v>20</v>
      </c>
    </row>
    <row r="64" spans="1:2">
      <c r="A64" t="s">
        <v>110</v>
      </c>
      <c r="B64" t="s">
        <v>23</v>
      </c>
    </row>
    <row r="65" spans="1:2">
      <c r="A65" t="s">
        <v>111</v>
      </c>
      <c r="B65" t="s">
        <v>26</v>
      </c>
    </row>
    <row r="66" spans="1:2">
      <c r="A66" t="s">
        <v>112</v>
      </c>
      <c r="B66" t="s">
        <v>14</v>
      </c>
    </row>
    <row r="67" spans="1:2">
      <c r="A67" t="s">
        <v>113</v>
      </c>
      <c r="B67" t="s">
        <v>20</v>
      </c>
    </row>
    <row r="68" spans="1:2">
      <c r="A68" t="s">
        <v>114</v>
      </c>
      <c r="B68" t="s">
        <v>26</v>
      </c>
    </row>
    <row r="69" spans="1:2">
      <c r="A69" t="s">
        <v>115</v>
      </c>
      <c r="B69" t="s">
        <v>17</v>
      </c>
    </row>
    <row r="70" spans="1:2">
      <c r="A70" t="s">
        <v>116</v>
      </c>
      <c r="B70" t="s">
        <v>23</v>
      </c>
    </row>
    <row r="71" spans="1:2">
      <c r="A71" t="s">
        <v>117</v>
      </c>
      <c r="B71" t="s">
        <v>15</v>
      </c>
    </row>
    <row r="72" spans="1:2">
      <c r="A72" t="s">
        <v>118</v>
      </c>
      <c r="B72" t="s">
        <v>18</v>
      </c>
    </row>
    <row r="73" spans="1:2">
      <c r="A73" t="s">
        <v>119</v>
      </c>
      <c r="B73" t="s">
        <v>21</v>
      </c>
    </row>
    <row r="74" spans="1:2">
      <c r="A74" t="s">
        <v>120</v>
      </c>
      <c r="B74" t="s">
        <v>24</v>
      </c>
    </row>
    <row r="75" spans="1:2">
      <c r="A75" t="s">
        <v>121</v>
      </c>
      <c r="B75" t="s">
        <v>27</v>
      </c>
    </row>
    <row r="76" spans="1:2">
      <c r="A76" t="s">
        <v>122</v>
      </c>
      <c r="B76" t="s">
        <v>15</v>
      </c>
    </row>
    <row r="77" spans="1:2">
      <c r="A77" t="s">
        <v>123</v>
      </c>
      <c r="B77" t="s">
        <v>21</v>
      </c>
    </row>
    <row r="78" spans="1:2">
      <c r="A78" t="s">
        <v>124</v>
      </c>
      <c r="B78" t="s">
        <v>27</v>
      </c>
    </row>
    <row r="79" spans="1:2">
      <c r="A79" t="s">
        <v>125</v>
      </c>
      <c r="B79" t="s">
        <v>18</v>
      </c>
    </row>
    <row r="80" spans="1:2">
      <c r="A80" t="s">
        <v>126</v>
      </c>
      <c r="B80" t="s">
        <v>24</v>
      </c>
    </row>
    <row r="81" spans="1:2">
      <c r="A81" t="s">
        <v>127</v>
      </c>
      <c r="B81" t="s">
        <v>16</v>
      </c>
    </row>
    <row r="82" spans="1:2">
      <c r="A82" t="s">
        <v>128</v>
      </c>
      <c r="B82" t="s">
        <v>19</v>
      </c>
    </row>
    <row r="83" spans="1:2">
      <c r="A83" t="s">
        <v>129</v>
      </c>
      <c r="B83" t="s">
        <v>22</v>
      </c>
    </row>
    <row r="84" spans="1:2">
      <c r="A84" t="s">
        <v>130</v>
      </c>
      <c r="B84" t="s">
        <v>25</v>
      </c>
    </row>
    <row r="85" spans="1:2">
      <c r="A85" t="s">
        <v>131</v>
      </c>
      <c r="B85" t="s">
        <v>28</v>
      </c>
    </row>
    <row r="86" spans="1:2">
      <c r="A86" t="s">
        <v>132</v>
      </c>
      <c r="B86" t="s">
        <v>16</v>
      </c>
    </row>
    <row r="87" spans="1:2">
      <c r="A87" t="s">
        <v>133</v>
      </c>
      <c r="B87" t="s">
        <v>22</v>
      </c>
    </row>
    <row r="88" spans="1:2">
      <c r="A88" t="s">
        <v>134</v>
      </c>
      <c r="B88" t="s">
        <v>28</v>
      </c>
    </row>
    <row r="89" spans="1:2">
      <c r="A89" t="s">
        <v>135</v>
      </c>
      <c r="B89" t="s">
        <v>19</v>
      </c>
    </row>
    <row r="90" spans="1:2">
      <c r="A90" t="s">
        <v>136</v>
      </c>
      <c r="B90" t="s">
        <v>25</v>
      </c>
    </row>
    <row r="91" spans="1:2">
      <c r="A91" t="s">
        <v>137</v>
      </c>
      <c r="B91" t="s">
        <v>29</v>
      </c>
    </row>
    <row r="92" spans="1:2">
      <c r="A92" t="s">
        <v>138</v>
      </c>
      <c r="B92" t="s">
        <v>30</v>
      </c>
    </row>
    <row r="93" spans="1:2">
      <c r="A93" t="s">
        <v>139</v>
      </c>
      <c r="B93" t="s">
        <v>31</v>
      </c>
    </row>
    <row r="94" spans="1:2">
      <c r="A94" t="s">
        <v>140</v>
      </c>
      <c r="B94" t="s">
        <v>32</v>
      </c>
    </row>
    <row r="95" spans="1:2">
      <c r="A95" t="s">
        <v>141</v>
      </c>
      <c r="B95" t="s">
        <v>33</v>
      </c>
    </row>
    <row r="96" spans="1:2">
      <c r="A96" t="s">
        <v>142</v>
      </c>
      <c r="B96" t="s">
        <v>29</v>
      </c>
    </row>
    <row r="97" spans="1:2">
      <c r="A97" t="s">
        <v>143</v>
      </c>
      <c r="B97" t="s">
        <v>31</v>
      </c>
    </row>
    <row r="98" spans="1:2">
      <c r="A98" t="s">
        <v>144</v>
      </c>
      <c r="B98" t="s">
        <v>33</v>
      </c>
    </row>
    <row r="99" spans="1:2">
      <c r="A99" t="s">
        <v>145</v>
      </c>
      <c r="B99" t="s">
        <v>30</v>
      </c>
    </row>
    <row r="100" spans="1:2">
      <c r="A100" t="s">
        <v>146</v>
      </c>
      <c r="B100" t="s">
        <v>32</v>
      </c>
    </row>
    <row r="101" spans="1:2">
      <c r="A101" t="s">
        <v>147</v>
      </c>
      <c r="B101" t="s">
        <v>34</v>
      </c>
    </row>
    <row r="102" spans="1:2">
      <c r="A102" t="s">
        <v>148</v>
      </c>
      <c r="B102" t="s">
        <v>35</v>
      </c>
    </row>
    <row r="103" spans="1:2">
      <c r="A103" t="s">
        <v>149</v>
      </c>
      <c r="B103" t="s">
        <v>36</v>
      </c>
    </row>
    <row r="104" spans="1:2">
      <c r="A104" t="s">
        <v>150</v>
      </c>
      <c r="B104" t="s">
        <v>37</v>
      </c>
    </row>
    <row r="105" spans="1:2">
      <c r="A105" t="s">
        <v>151</v>
      </c>
      <c r="B105" t="s">
        <v>38</v>
      </c>
    </row>
    <row r="106" spans="1:2">
      <c r="A106" t="s">
        <v>152</v>
      </c>
      <c r="B106" t="s">
        <v>39</v>
      </c>
    </row>
    <row r="107" spans="1:2">
      <c r="A107" t="s">
        <v>153</v>
      </c>
      <c r="B107" t="s">
        <v>40</v>
      </c>
    </row>
    <row r="108" spans="1:2">
      <c r="A108" t="s">
        <v>154</v>
      </c>
      <c r="B108" t="s">
        <v>41</v>
      </c>
    </row>
    <row r="109" spans="1:2">
      <c r="A109" t="s">
        <v>155</v>
      </c>
      <c r="B109" t="s">
        <v>42</v>
      </c>
    </row>
    <row r="110" spans="1:2">
      <c r="A110" t="s">
        <v>156</v>
      </c>
      <c r="B110" t="s">
        <v>34</v>
      </c>
    </row>
    <row r="111" spans="1:2">
      <c r="A111" t="s">
        <v>157</v>
      </c>
      <c r="B111" t="s">
        <v>37</v>
      </c>
    </row>
    <row r="112" spans="1:2">
      <c r="A112" t="s">
        <v>158</v>
      </c>
      <c r="B112" t="s">
        <v>40</v>
      </c>
    </row>
    <row r="113" spans="1:2">
      <c r="A113" t="s">
        <v>159</v>
      </c>
      <c r="B113" t="s">
        <v>35</v>
      </c>
    </row>
    <row r="114" spans="1:2">
      <c r="A114" t="s">
        <v>160</v>
      </c>
      <c r="B114" t="s">
        <v>38</v>
      </c>
    </row>
    <row r="115" spans="1:2">
      <c r="A115" t="s">
        <v>161</v>
      </c>
      <c r="B115" t="s">
        <v>41</v>
      </c>
    </row>
    <row r="116" spans="1:2">
      <c r="A116" t="s">
        <v>162</v>
      </c>
      <c r="B116" t="s">
        <v>36</v>
      </c>
    </row>
    <row r="117" spans="1:2">
      <c r="A117" t="s">
        <v>163</v>
      </c>
      <c r="B117" t="s">
        <v>39</v>
      </c>
    </row>
    <row r="118" spans="1:2">
      <c r="A118" t="s">
        <v>164</v>
      </c>
      <c r="B118" t="s">
        <v>42</v>
      </c>
    </row>
    <row r="119" spans="1:2">
      <c r="A119" t="s">
        <v>165</v>
      </c>
      <c r="B119" t="s">
        <v>43</v>
      </c>
    </row>
    <row r="120" spans="1:2">
      <c r="A120" t="s">
        <v>166</v>
      </c>
      <c r="B120" t="s">
        <v>44</v>
      </c>
    </row>
    <row r="121" spans="1:2">
      <c r="A121" t="s">
        <v>167</v>
      </c>
      <c r="B121" t="s">
        <v>45</v>
      </c>
    </row>
    <row r="122" spans="1:2">
      <c r="A122" t="s">
        <v>168</v>
      </c>
      <c r="B122" t="s">
        <v>46</v>
      </c>
    </row>
    <row r="123" spans="1:2">
      <c r="A123" t="s">
        <v>169</v>
      </c>
      <c r="B123" t="s">
        <v>47</v>
      </c>
    </row>
    <row r="124" spans="1:2">
      <c r="A124" t="s">
        <v>170</v>
      </c>
      <c r="B124" t="s">
        <v>48</v>
      </c>
    </row>
    <row r="125" spans="1:2">
      <c r="A125" t="s">
        <v>171</v>
      </c>
      <c r="B125" t="s">
        <v>43</v>
      </c>
    </row>
    <row r="126" spans="1:2">
      <c r="A126" t="s">
        <v>172</v>
      </c>
      <c r="B126" t="s">
        <v>46</v>
      </c>
    </row>
    <row r="127" spans="1:2">
      <c r="A127" t="s">
        <v>173</v>
      </c>
      <c r="B127" t="s">
        <v>44</v>
      </c>
    </row>
    <row r="128" spans="1:2">
      <c r="A128" t="s">
        <v>174</v>
      </c>
      <c r="B128" t="s">
        <v>47</v>
      </c>
    </row>
    <row r="129" spans="1:2">
      <c r="A129" t="s">
        <v>175</v>
      </c>
      <c r="B129" t="s">
        <v>45</v>
      </c>
    </row>
    <row r="130" spans="1:2">
      <c r="A130" t="s">
        <v>176</v>
      </c>
      <c r="B130" t="s">
        <v>48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7"/>
  <sheetViews>
    <sheetView tabSelected="1" topLeftCell="A4" workbookViewId="0">
      <selection activeCell="E24" sqref="E24"/>
    </sheetView>
  </sheetViews>
  <sheetFormatPr defaultRowHeight="13.5"/>
  <cols>
    <col min="1" max="1" width="37.5" customWidth="1"/>
    <col min="2" max="2" width="17.125" customWidth="1"/>
  </cols>
  <sheetData>
    <row r="1" spans="1:5">
      <c r="A1" t="s">
        <v>244</v>
      </c>
      <c r="B1" t="s">
        <v>245</v>
      </c>
      <c r="C1" t="s">
        <v>246</v>
      </c>
      <c r="D1" t="s">
        <v>247</v>
      </c>
      <c r="E1" t="s">
        <v>248</v>
      </c>
    </row>
    <row r="2" spans="1:5">
      <c r="A2" s="21">
        <v>43227.769259259258</v>
      </c>
      <c r="B2" t="s">
        <v>218</v>
      </c>
      <c r="C2" t="s">
        <v>219</v>
      </c>
      <c r="D2">
        <v>-100</v>
      </c>
    </row>
    <row r="3" spans="1:5">
      <c r="A3" s="21">
        <v>43227.769594444442</v>
      </c>
      <c r="B3" t="s">
        <v>220</v>
      </c>
      <c r="C3" t="s">
        <v>221</v>
      </c>
      <c r="D3">
        <v>100</v>
      </c>
      <c r="E3">
        <f>SUM($D$2,D3)</f>
        <v>0</v>
      </c>
    </row>
    <row r="4" spans="1:5">
      <c r="A4" s="21">
        <v>43227.775219907409</v>
      </c>
      <c r="B4" t="s">
        <v>222</v>
      </c>
      <c r="C4" t="s">
        <v>219</v>
      </c>
      <c r="D4">
        <v>-200</v>
      </c>
      <c r="E4">
        <f t="shared" ref="E4:E27" si="0">SUM($D$2,D4)</f>
        <v>-300</v>
      </c>
    </row>
    <row r="5" spans="1:5">
      <c r="A5" s="21">
        <v>43227.775622256944</v>
      </c>
      <c r="B5" t="s">
        <v>220</v>
      </c>
      <c r="C5" t="s">
        <v>221</v>
      </c>
      <c r="D5">
        <v>200</v>
      </c>
      <c r="E5">
        <f t="shared" si="0"/>
        <v>100</v>
      </c>
    </row>
    <row r="6" spans="1:5">
      <c r="A6" s="21">
        <v>43227.779436342593</v>
      </c>
      <c r="B6" t="s">
        <v>223</v>
      </c>
      <c r="C6" t="s">
        <v>1</v>
      </c>
      <c r="D6">
        <v>390</v>
      </c>
      <c r="E6">
        <f t="shared" si="0"/>
        <v>290</v>
      </c>
    </row>
    <row r="7" spans="1:5">
      <c r="A7" s="21">
        <v>43227.779664351852</v>
      </c>
      <c r="B7" t="s">
        <v>224</v>
      </c>
      <c r="C7" t="s">
        <v>219</v>
      </c>
      <c r="D7">
        <v>-190</v>
      </c>
      <c r="E7">
        <f t="shared" si="0"/>
        <v>-290</v>
      </c>
    </row>
    <row r="8" spans="1:5">
      <c r="A8" s="21">
        <v>43227.786714618058</v>
      </c>
      <c r="B8" t="s">
        <v>225</v>
      </c>
      <c r="C8" t="s">
        <v>1</v>
      </c>
      <c r="D8">
        <v>370</v>
      </c>
      <c r="E8">
        <f t="shared" si="0"/>
        <v>270</v>
      </c>
    </row>
    <row r="9" spans="1:5">
      <c r="A9" s="21">
        <v>43227.789270833331</v>
      </c>
      <c r="B9" t="s">
        <v>226</v>
      </c>
      <c r="C9" t="s">
        <v>219</v>
      </c>
      <c r="D9">
        <v>-150</v>
      </c>
      <c r="E9">
        <f t="shared" si="0"/>
        <v>-250</v>
      </c>
    </row>
    <row r="10" spans="1:5">
      <c r="A10" s="21">
        <v>43227.789317129631</v>
      </c>
      <c r="B10" t="s">
        <v>227</v>
      </c>
      <c r="C10" t="s">
        <v>219</v>
      </c>
      <c r="D10">
        <v>-20</v>
      </c>
      <c r="E10">
        <f t="shared" si="0"/>
        <v>-120</v>
      </c>
    </row>
    <row r="11" spans="1:5">
      <c r="A11" s="21">
        <v>43227.821747685186</v>
      </c>
      <c r="B11" t="s">
        <v>222</v>
      </c>
      <c r="C11" t="s">
        <v>219</v>
      </c>
      <c r="D11">
        <v>-200</v>
      </c>
      <c r="E11">
        <f t="shared" si="0"/>
        <v>-300</v>
      </c>
    </row>
    <row r="12" spans="1:5">
      <c r="A12" s="21">
        <v>43227.828113425923</v>
      </c>
      <c r="B12" t="s">
        <v>228</v>
      </c>
      <c r="C12" t="s">
        <v>219</v>
      </c>
      <c r="D12">
        <v>-200</v>
      </c>
      <c r="E12">
        <f t="shared" si="0"/>
        <v>-300</v>
      </c>
    </row>
    <row r="13" spans="1:5">
      <c r="A13" s="21">
        <v>43227.835018865742</v>
      </c>
      <c r="B13" t="s">
        <v>229</v>
      </c>
      <c r="C13" t="s">
        <v>1</v>
      </c>
      <c r="D13">
        <v>420</v>
      </c>
      <c r="E13">
        <f t="shared" si="0"/>
        <v>320</v>
      </c>
    </row>
    <row r="14" spans="1:5">
      <c r="A14" s="21">
        <v>43227.835497685184</v>
      </c>
      <c r="B14" t="s">
        <v>230</v>
      </c>
      <c r="C14" t="s">
        <v>219</v>
      </c>
      <c r="D14">
        <v>-200</v>
      </c>
      <c r="E14">
        <f t="shared" si="0"/>
        <v>-300</v>
      </c>
    </row>
    <row r="15" spans="1:5">
      <c r="A15" s="21">
        <v>43227.835648148146</v>
      </c>
      <c r="B15" t="s">
        <v>231</v>
      </c>
      <c r="C15" t="s">
        <v>219</v>
      </c>
      <c r="D15">
        <v>-220</v>
      </c>
      <c r="E15">
        <f t="shared" si="0"/>
        <v>-320</v>
      </c>
    </row>
    <row r="16" spans="1:5">
      <c r="A16" s="21">
        <v>43227.841924618057</v>
      </c>
      <c r="B16" t="s">
        <v>232</v>
      </c>
      <c r="C16" t="s">
        <v>1</v>
      </c>
      <c r="D16">
        <v>390</v>
      </c>
      <c r="E16">
        <f t="shared" si="0"/>
        <v>290</v>
      </c>
    </row>
    <row r="17" spans="1:5">
      <c r="A17" s="21">
        <v>43227.841926041663</v>
      </c>
      <c r="B17" t="s">
        <v>233</v>
      </c>
      <c r="C17" t="s">
        <v>1</v>
      </c>
      <c r="D17">
        <v>462</v>
      </c>
      <c r="E17">
        <f t="shared" si="0"/>
        <v>362</v>
      </c>
    </row>
    <row r="18" spans="1:5">
      <c r="A18" s="21">
        <v>43227.870034722226</v>
      </c>
      <c r="B18" t="s">
        <v>234</v>
      </c>
      <c r="C18" t="s">
        <v>219</v>
      </c>
      <c r="D18">
        <v>-52</v>
      </c>
      <c r="E18">
        <f t="shared" si="0"/>
        <v>-152</v>
      </c>
    </row>
    <row r="19" spans="1:5">
      <c r="A19" s="21">
        <v>43227.877500000002</v>
      </c>
      <c r="B19" t="s">
        <v>235</v>
      </c>
      <c r="C19" t="s">
        <v>219</v>
      </c>
      <c r="D19">
        <v>-170</v>
      </c>
      <c r="E19">
        <f t="shared" si="0"/>
        <v>-270</v>
      </c>
    </row>
    <row r="20" spans="1:5">
      <c r="A20" s="21">
        <v>43227.877592592595</v>
      </c>
      <c r="B20" t="s">
        <v>236</v>
      </c>
      <c r="C20" t="s">
        <v>219</v>
      </c>
      <c r="D20">
        <v>-30</v>
      </c>
      <c r="E20">
        <f t="shared" si="0"/>
        <v>-130</v>
      </c>
    </row>
    <row r="21" spans="1:5">
      <c r="A21" s="21">
        <v>43227.883708564812</v>
      </c>
      <c r="B21" t="s">
        <v>237</v>
      </c>
      <c r="C21" t="s">
        <v>1</v>
      </c>
      <c r="D21">
        <v>357</v>
      </c>
      <c r="E21">
        <f t="shared" si="0"/>
        <v>257</v>
      </c>
    </row>
    <row r="22" spans="1:5">
      <c r="A22" s="21">
        <v>43227.884923611113</v>
      </c>
      <c r="B22" t="s">
        <v>238</v>
      </c>
      <c r="C22" t="s">
        <v>239</v>
      </c>
      <c r="D22">
        <v>-957</v>
      </c>
      <c r="E22">
        <f t="shared" si="0"/>
        <v>-1057</v>
      </c>
    </row>
    <row r="23" spans="1:5">
      <c r="A23" s="21">
        <v>43227.964490740742</v>
      </c>
      <c r="B23" t="s">
        <v>240</v>
      </c>
      <c r="C23" t="s">
        <v>219</v>
      </c>
      <c r="D23">
        <v>-100</v>
      </c>
      <c r="E23">
        <f t="shared" si="0"/>
        <v>-200</v>
      </c>
    </row>
    <row r="24" spans="1:5">
      <c r="A24" s="21">
        <v>43227.964935567128</v>
      </c>
      <c r="B24" t="s">
        <v>220</v>
      </c>
      <c r="C24" t="s">
        <v>221</v>
      </c>
      <c r="D24">
        <v>100</v>
      </c>
      <c r="E24">
        <f t="shared" si="0"/>
        <v>0</v>
      </c>
    </row>
    <row r="25" spans="1:5">
      <c r="A25" s="21">
        <v>43227.966878622683</v>
      </c>
      <c r="B25" t="s">
        <v>241</v>
      </c>
      <c r="C25" t="s">
        <v>1</v>
      </c>
      <c r="D25">
        <v>195</v>
      </c>
      <c r="E25">
        <f t="shared" si="0"/>
        <v>95</v>
      </c>
    </row>
    <row r="26" spans="1:5">
      <c r="A26" s="21">
        <v>43228.414843831022</v>
      </c>
      <c r="B26" t="s">
        <v>242</v>
      </c>
      <c r="C26" t="s">
        <v>243</v>
      </c>
      <c r="D26">
        <v>38</v>
      </c>
      <c r="E26">
        <f t="shared" si="0"/>
        <v>-62</v>
      </c>
    </row>
    <row r="27" spans="1:5">
      <c r="A27" s="21">
        <v>43228.428280057873</v>
      </c>
      <c r="B27" t="s">
        <v>238</v>
      </c>
      <c r="C27" t="s">
        <v>239</v>
      </c>
      <c r="D27">
        <v>-195</v>
      </c>
      <c r="E27">
        <f t="shared" si="0"/>
        <v>-295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下注开奖</vt:lpstr>
      <vt:lpstr>赔率</vt:lpstr>
      <vt:lpstr>组合对照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2018-05-08T02:39:48Z</dcterms:modified>
</cp:coreProperties>
</file>